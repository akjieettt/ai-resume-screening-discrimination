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eadie\OneDrive\Documents\SYP\Data Collection\"/>
    </mc:Choice>
  </mc:AlternateContent>
  <xr:revisionPtr revIDLastSave="0" documentId="13_ncr:1_{9B3B3591-C43F-41AE-8DD6-0A683DB52BCF}" xr6:coauthVersionLast="47" xr6:coauthVersionMax="47" xr10:uidLastSave="{00000000-0000-0000-0000-000000000000}"/>
  <bookViews>
    <workbookView xWindow="-98" yWindow="-98" windowWidth="19396" windowHeight="11475" tabRatio="860" xr2:uid="{7362BF13-83E9-40B4-8484-1A485DF9A9DA}"/>
  </bookViews>
  <sheets>
    <sheet name="PASTE - Match 2" sheetId="1" r:id="rId1"/>
    <sheet name="COPY - Match 2" sheetId="3" r:id="rId2"/>
    <sheet name="LU - Company Names" sheetId="5" r:id="rId3"/>
    <sheet name="LU - Position Name Conversion" sheetId="11" r:id="rId4"/>
    <sheet name="LU - Certifications" sheetId="9" r:id="rId5"/>
    <sheet name="LU - Schools" sheetId="8" r:id="rId6"/>
    <sheet name="LU - Names" sheetId="10" r:id="rId7"/>
    <sheet name="LU - Emails" sheetId="6" r:id="rId8"/>
    <sheet name="LU - Phone Numbers" sheetId="7" r:id="rId9"/>
    <sheet name="LU - Ad Hoc Baker Fix" sheetId="12" r:id="rId10"/>
  </sheets>
  <definedNames>
    <definedName name="_xlnm._FilterDatabase" localSheetId="2" hidden="1">'LU - Company Names'!$A$1:$J$202</definedName>
    <definedName name="OLE_LINK1" localSheetId="0">'PASTE - Match 2'!$L$3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6" i="5" l="1"/>
  <c r="A326" i="5"/>
  <c r="B325" i="5"/>
  <c r="A325" i="5"/>
  <c r="B324" i="5"/>
  <c r="A324" i="5"/>
  <c r="B323" i="5"/>
  <c r="A323" i="5"/>
  <c r="B322" i="5"/>
  <c r="A322" i="5"/>
  <c r="B321" i="5"/>
  <c r="A321" i="5"/>
  <c r="B320" i="5"/>
  <c r="A320" i="5"/>
  <c r="B319" i="5"/>
  <c r="A319" i="5"/>
  <c r="B318" i="5"/>
  <c r="A318" i="5"/>
  <c r="B317" i="5"/>
  <c r="A317" i="5"/>
  <c r="B316" i="5"/>
  <c r="A316" i="5"/>
  <c r="B315" i="5"/>
  <c r="A315" i="5"/>
  <c r="B314" i="5"/>
  <c r="A314" i="5"/>
  <c r="B313" i="5"/>
  <c r="A313" i="5"/>
  <c r="B312" i="5"/>
  <c r="A312" i="5"/>
  <c r="B311" i="5"/>
  <c r="A311" i="5"/>
  <c r="B310" i="5"/>
  <c r="A310" i="5"/>
  <c r="B309" i="5"/>
  <c r="A309" i="5"/>
  <c r="B308" i="5"/>
  <c r="A308" i="5"/>
  <c r="B307" i="5"/>
  <c r="A307" i="5"/>
  <c r="B306" i="5"/>
  <c r="A306" i="5"/>
  <c r="B305" i="5"/>
  <c r="A305" i="5"/>
  <c r="B304" i="5"/>
  <c r="A304" i="5"/>
  <c r="B303" i="5"/>
  <c r="A303" i="5"/>
  <c r="B302" i="5"/>
  <c r="A302" i="5"/>
  <c r="B301" i="5"/>
  <c r="A301" i="5"/>
  <c r="B300" i="5"/>
  <c r="A300" i="5"/>
  <c r="B299" i="5"/>
  <c r="A299" i="5"/>
  <c r="B298" i="5"/>
  <c r="A298" i="5"/>
  <c r="B297" i="5"/>
  <c r="A297" i="5"/>
  <c r="B296" i="5"/>
  <c r="A296" i="5"/>
  <c r="B295" i="5"/>
  <c r="A295" i="5"/>
  <c r="B294" i="5"/>
  <c r="A294" i="5"/>
  <c r="B293" i="5"/>
  <c r="A293" i="5"/>
  <c r="B292" i="5"/>
  <c r="A292" i="5"/>
  <c r="B291" i="5"/>
  <c r="A291" i="5"/>
  <c r="B290" i="5"/>
  <c r="A290" i="5"/>
  <c r="B289" i="5"/>
  <c r="A289" i="5"/>
  <c r="B288" i="5"/>
  <c r="A288" i="5"/>
  <c r="B287" i="5"/>
  <c r="A287" i="5"/>
  <c r="B286" i="5"/>
  <c r="A286" i="5"/>
  <c r="B285" i="5"/>
  <c r="A285" i="5"/>
  <c r="B284" i="5"/>
  <c r="A284" i="5"/>
  <c r="B283" i="5"/>
  <c r="A283" i="5"/>
  <c r="B282" i="5"/>
  <c r="A282" i="5"/>
  <c r="B281" i="5"/>
  <c r="A281" i="5"/>
  <c r="B280" i="5"/>
  <c r="A280" i="5"/>
  <c r="B279" i="5"/>
  <c r="A279" i="5"/>
  <c r="B278" i="5"/>
  <c r="A278" i="5"/>
  <c r="B277" i="5"/>
  <c r="A277" i="5"/>
  <c r="B276" i="5"/>
  <c r="A276" i="5"/>
  <c r="B275" i="5"/>
  <c r="A275" i="5"/>
  <c r="B274" i="5"/>
  <c r="A274" i="5"/>
  <c r="B273" i="5"/>
  <c r="A273" i="5"/>
  <c r="B272" i="5"/>
  <c r="A272" i="5"/>
  <c r="B271" i="5"/>
  <c r="A271" i="5"/>
  <c r="B270" i="5"/>
  <c r="A270" i="5"/>
  <c r="B269" i="5"/>
  <c r="A269" i="5"/>
  <c r="B268" i="5"/>
  <c r="A268" i="5"/>
  <c r="B267" i="5"/>
  <c r="A267" i="5"/>
  <c r="B266" i="5"/>
  <c r="A266" i="5"/>
  <c r="B265" i="5"/>
  <c r="A265" i="5"/>
  <c r="B264" i="5"/>
  <c r="A264" i="5"/>
  <c r="B263" i="5"/>
  <c r="A263" i="5"/>
  <c r="B262" i="5"/>
  <c r="A262" i="5"/>
  <c r="B261" i="5"/>
  <c r="A261" i="5"/>
  <c r="B260" i="5"/>
  <c r="A260" i="5"/>
  <c r="B259" i="5"/>
  <c r="A259" i="5"/>
  <c r="B258" i="5"/>
  <c r="A258" i="5"/>
  <c r="B257" i="5"/>
  <c r="A257" i="5"/>
  <c r="B256" i="5"/>
  <c r="A256" i="5"/>
  <c r="B255" i="5"/>
  <c r="A255" i="5"/>
  <c r="B254" i="5"/>
  <c r="A254" i="5"/>
  <c r="B253" i="5"/>
  <c r="A253" i="5"/>
  <c r="B252" i="5"/>
  <c r="A252" i="5"/>
  <c r="B251" i="5"/>
  <c r="A251" i="5"/>
  <c r="B250" i="5"/>
  <c r="A250" i="5"/>
  <c r="B249" i="5"/>
  <c r="A249" i="5"/>
  <c r="B248" i="5"/>
  <c r="A248" i="5"/>
  <c r="B247" i="5"/>
  <c r="A247" i="5"/>
  <c r="B246" i="5"/>
  <c r="A246" i="5"/>
  <c r="B245" i="5"/>
  <c r="A245" i="5"/>
  <c r="B244" i="5"/>
  <c r="A244" i="5"/>
  <c r="B243" i="5"/>
  <c r="A243" i="5"/>
  <c r="B242" i="5"/>
  <c r="A242" i="5"/>
  <c r="B241" i="5"/>
  <c r="A241" i="5"/>
  <c r="B240" i="5"/>
  <c r="A240" i="5"/>
  <c r="B239" i="5"/>
  <c r="A239" i="5"/>
  <c r="B238" i="5"/>
  <c r="A238" i="5"/>
  <c r="B237" i="5"/>
  <c r="A237" i="5"/>
  <c r="B236" i="5"/>
  <c r="A236" i="5"/>
  <c r="B235" i="5"/>
  <c r="A235" i="5"/>
  <c r="B234" i="5"/>
  <c r="A234" i="5"/>
  <c r="B233" i="5"/>
  <c r="A233" i="5"/>
  <c r="B232" i="5"/>
  <c r="A232" i="5"/>
  <c r="B231" i="5"/>
  <c r="A231" i="5"/>
  <c r="B230" i="5"/>
  <c r="A230" i="5"/>
  <c r="B229" i="5"/>
  <c r="A229" i="5"/>
  <c r="B228" i="5"/>
  <c r="A228" i="5"/>
  <c r="B227" i="5"/>
  <c r="A227" i="5"/>
  <c r="B226" i="5"/>
  <c r="A226" i="5"/>
  <c r="B225" i="5"/>
  <c r="A225" i="5"/>
  <c r="B224" i="5"/>
  <c r="A224" i="5"/>
  <c r="B223" i="5"/>
  <c r="A223" i="5"/>
  <c r="B222" i="5"/>
  <c r="A222" i="5"/>
  <c r="B221" i="5"/>
  <c r="A221" i="5"/>
  <c r="B220" i="5"/>
  <c r="A220" i="5"/>
  <c r="B219" i="5"/>
  <c r="A219" i="5"/>
  <c r="B218" i="5"/>
  <c r="A218" i="5"/>
  <c r="B217" i="5"/>
  <c r="A217" i="5"/>
  <c r="B216" i="5"/>
  <c r="A216" i="5"/>
  <c r="B215" i="5"/>
  <c r="A215" i="5"/>
  <c r="B214" i="5"/>
  <c r="A214" i="5"/>
  <c r="B213" i="5"/>
  <c r="A213" i="5"/>
  <c r="B212" i="5"/>
  <c r="A212" i="5"/>
  <c r="B211" i="5"/>
  <c r="A211" i="5"/>
  <c r="B210" i="5"/>
  <c r="A210" i="5"/>
  <c r="B209" i="5"/>
  <c r="A209" i="5"/>
  <c r="B208" i="5"/>
  <c r="A208" i="5"/>
  <c r="B207" i="5"/>
  <c r="A207" i="5"/>
  <c r="B206" i="5"/>
  <c r="A206" i="5"/>
  <c r="B205" i="5"/>
  <c r="A205" i="5"/>
  <c r="B204" i="5"/>
  <c r="A204" i="5"/>
  <c r="B203" i="5"/>
  <c r="A203" i="5"/>
  <c r="B202" i="5"/>
  <c r="A202" i="5"/>
  <c r="B201" i="5"/>
  <c r="A201" i="5"/>
  <c r="B200" i="5"/>
  <c r="A200" i="5"/>
  <c r="B199" i="5"/>
  <c r="A199" i="5"/>
  <c r="B198" i="5"/>
  <c r="A198" i="5"/>
  <c r="B197" i="5"/>
  <c r="A197" i="5"/>
  <c r="B196" i="5"/>
  <c r="A196" i="5"/>
  <c r="B195" i="5"/>
  <c r="A195" i="5"/>
  <c r="B194" i="5"/>
  <c r="A194" i="5"/>
  <c r="B193" i="5"/>
  <c r="A193" i="5"/>
  <c r="B192" i="5"/>
  <c r="A192" i="5"/>
  <c r="B191" i="5"/>
  <c r="A191" i="5"/>
  <c r="B190" i="5"/>
  <c r="A190" i="5"/>
  <c r="B189" i="5"/>
  <c r="A189" i="5"/>
  <c r="B188" i="5"/>
  <c r="A188" i="5"/>
  <c r="B187" i="5"/>
  <c r="A187" i="5"/>
  <c r="B186" i="5"/>
  <c r="A186" i="5"/>
  <c r="B185" i="5"/>
  <c r="A185" i="5"/>
  <c r="B184" i="5"/>
  <c r="A184" i="5"/>
  <c r="B183" i="5"/>
  <c r="A183" i="5"/>
  <c r="B182" i="5"/>
  <c r="A182" i="5"/>
  <c r="B181" i="5"/>
  <c r="A181" i="5"/>
  <c r="B180" i="5"/>
  <c r="A180" i="5"/>
  <c r="B179" i="5"/>
  <c r="A179" i="5"/>
  <c r="B178" i="5"/>
  <c r="A178" i="5"/>
  <c r="B177" i="5"/>
  <c r="A177" i="5"/>
  <c r="B176" i="5"/>
  <c r="A176" i="5"/>
  <c r="B175" i="5"/>
  <c r="A175" i="5"/>
  <c r="B174" i="5"/>
  <c r="A174" i="5"/>
  <c r="B173" i="5"/>
  <c r="A173" i="5"/>
  <c r="B172" i="5"/>
  <c r="A172" i="5"/>
  <c r="B171" i="5"/>
  <c r="A171" i="5"/>
  <c r="B170" i="5"/>
  <c r="A170" i="5"/>
  <c r="B169" i="5"/>
  <c r="A169" i="5"/>
  <c r="B168" i="5"/>
  <c r="A168" i="5"/>
  <c r="B167" i="5"/>
  <c r="A167" i="5"/>
  <c r="B166" i="5"/>
  <c r="A166" i="5"/>
  <c r="B165" i="5"/>
  <c r="A165" i="5"/>
  <c r="B164" i="5"/>
  <c r="A164" i="5"/>
  <c r="B163" i="5"/>
  <c r="A163" i="5"/>
  <c r="B162" i="5"/>
  <c r="A162" i="5"/>
  <c r="B161" i="5"/>
  <c r="A161" i="5"/>
  <c r="B160" i="5"/>
  <c r="A160" i="5"/>
  <c r="B159" i="5"/>
  <c r="A159" i="5"/>
  <c r="B158" i="5"/>
  <c r="A158" i="5"/>
  <c r="B157" i="5"/>
  <c r="A157" i="5"/>
  <c r="B156" i="5"/>
  <c r="A156" i="5"/>
  <c r="B155" i="5"/>
  <c r="A155" i="5"/>
  <c r="B154" i="5"/>
  <c r="A154" i="5"/>
  <c r="B153" i="5"/>
  <c r="A153" i="5"/>
  <c r="B152" i="5"/>
  <c r="A152" i="5"/>
  <c r="B151" i="5"/>
  <c r="A151" i="5"/>
  <c r="B150" i="5"/>
  <c r="A150" i="5"/>
  <c r="B149" i="5"/>
  <c r="A149" i="5"/>
  <c r="B148" i="5"/>
  <c r="A148" i="5"/>
  <c r="B147" i="5"/>
  <c r="A147" i="5"/>
  <c r="B146" i="5"/>
  <c r="A146" i="5"/>
  <c r="B145" i="5"/>
  <c r="A145" i="5"/>
  <c r="B144" i="5"/>
  <c r="A144" i="5"/>
  <c r="B143" i="5"/>
  <c r="A143" i="5"/>
  <c r="B142" i="5"/>
  <c r="A142" i="5"/>
  <c r="B141" i="5"/>
  <c r="A141" i="5"/>
  <c r="B140" i="5"/>
  <c r="A140" i="5"/>
  <c r="B139" i="5"/>
  <c r="A139" i="5"/>
  <c r="B138" i="5"/>
  <c r="A138" i="5"/>
  <c r="B137" i="5"/>
  <c r="A137" i="5"/>
  <c r="B136" i="5"/>
  <c r="A136" i="5"/>
  <c r="B135" i="5"/>
  <c r="A135" i="5"/>
  <c r="B134" i="5"/>
  <c r="A134" i="5"/>
  <c r="B133" i="5"/>
  <c r="A133" i="5"/>
  <c r="B132" i="5"/>
  <c r="A132" i="5"/>
  <c r="B131" i="5"/>
  <c r="A131" i="5"/>
  <c r="B130" i="5"/>
  <c r="A130" i="5"/>
  <c r="B129" i="5"/>
  <c r="A129" i="5"/>
  <c r="B128" i="5"/>
  <c r="A128" i="5"/>
  <c r="B127" i="5"/>
  <c r="A127" i="5"/>
  <c r="B126" i="5"/>
  <c r="A126" i="5"/>
  <c r="B125" i="5"/>
  <c r="A125" i="5"/>
  <c r="B124" i="5"/>
  <c r="A124" i="5"/>
  <c r="B123" i="5"/>
  <c r="A123" i="5"/>
  <c r="B122" i="5"/>
  <c r="A122" i="5"/>
  <c r="B121" i="5"/>
  <c r="A121" i="5"/>
  <c r="B120" i="5"/>
  <c r="A120" i="5"/>
  <c r="B119" i="5"/>
  <c r="A119" i="5"/>
  <c r="B118" i="5"/>
  <c r="A118" i="5"/>
  <c r="B117" i="5"/>
  <c r="A117" i="5"/>
  <c r="B116" i="5"/>
  <c r="A116" i="5"/>
  <c r="B115" i="5"/>
  <c r="A115" i="5"/>
  <c r="B114" i="5"/>
  <c r="A114" i="5"/>
  <c r="B113" i="5"/>
  <c r="A113" i="5"/>
  <c r="B112" i="5"/>
  <c r="A112" i="5"/>
  <c r="B111" i="5"/>
  <c r="A111" i="5"/>
  <c r="B110" i="5"/>
  <c r="A110" i="5"/>
  <c r="B109" i="5"/>
  <c r="A109" i="5"/>
  <c r="B108" i="5"/>
  <c r="A108" i="5"/>
  <c r="B107" i="5"/>
  <c r="A107" i="5"/>
  <c r="B106" i="5"/>
  <c r="A106" i="5"/>
  <c r="B105" i="5"/>
  <c r="A105" i="5"/>
  <c r="B104" i="5"/>
  <c r="A104" i="5"/>
  <c r="B103" i="5"/>
  <c r="A103" i="5"/>
  <c r="B102" i="5"/>
  <c r="A102" i="5"/>
  <c r="B101" i="5"/>
  <c r="A101" i="5"/>
  <c r="B100" i="5"/>
  <c r="A100" i="5"/>
  <c r="B99" i="5"/>
  <c r="A99" i="5"/>
  <c r="B98" i="5"/>
  <c r="A98" i="5"/>
  <c r="B97" i="5"/>
  <c r="A97" i="5"/>
  <c r="B96" i="5"/>
  <c r="A96" i="5"/>
  <c r="B95" i="5"/>
  <c r="A95" i="5"/>
  <c r="B94" i="5"/>
  <c r="A94" i="5"/>
  <c r="B93" i="5"/>
  <c r="A93" i="5"/>
  <c r="B92" i="5"/>
  <c r="A92" i="5"/>
  <c r="B91" i="5"/>
  <c r="A91" i="5"/>
  <c r="B90" i="5"/>
  <c r="A90" i="5"/>
  <c r="B89" i="5"/>
  <c r="A89" i="5"/>
  <c r="B88" i="5"/>
  <c r="A88" i="5"/>
  <c r="B87" i="5"/>
  <c r="A87" i="5"/>
  <c r="B86" i="5"/>
  <c r="A86" i="5"/>
  <c r="B85" i="5"/>
  <c r="A85" i="5"/>
  <c r="B84" i="5"/>
  <c r="A84" i="5"/>
  <c r="B83" i="5"/>
  <c r="A83" i="5"/>
  <c r="B82" i="5"/>
  <c r="A82" i="5"/>
  <c r="B81" i="5"/>
  <c r="A81" i="5"/>
  <c r="B80" i="5"/>
  <c r="A80" i="5"/>
  <c r="B79" i="5"/>
  <c r="A79" i="5"/>
  <c r="B78" i="5"/>
  <c r="A78" i="5"/>
  <c r="B77" i="5"/>
  <c r="A77" i="5"/>
  <c r="B76" i="5"/>
  <c r="A76" i="5"/>
  <c r="B75" i="5"/>
  <c r="A75" i="5"/>
  <c r="B74" i="5"/>
  <c r="A74" i="5"/>
  <c r="B73" i="5"/>
  <c r="A73" i="5"/>
  <c r="B72" i="5"/>
  <c r="A72" i="5"/>
  <c r="B71" i="5"/>
  <c r="A71" i="5"/>
  <c r="B70" i="5"/>
  <c r="A70" i="5"/>
  <c r="B69" i="5"/>
  <c r="A69" i="5"/>
  <c r="B68" i="5"/>
  <c r="A68" i="5"/>
  <c r="B67" i="5"/>
  <c r="A67" i="5"/>
  <c r="B66" i="5"/>
  <c r="A66" i="5"/>
  <c r="B65" i="5"/>
  <c r="A65" i="5"/>
  <c r="B64" i="5"/>
  <c r="A64" i="5"/>
  <c r="B63" i="5"/>
  <c r="A63" i="5"/>
  <c r="B62" i="5"/>
  <c r="A62" i="5"/>
  <c r="B61" i="5"/>
  <c r="A61" i="5"/>
  <c r="B60" i="5"/>
  <c r="A60" i="5"/>
  <c r="B59" i="5"/>
  <c r="A59" i="5"/>
  <c r="B58" i="5"/>
  <c r="A58" i="5"/>
  <c r="B57" i="5"/>
  <c r="A57" i="5"/>
  <c r="B56" i="5"/>
  <c r="A56" i="5"/>
  <c r="B55" i="5"/>
  <c r="A55" i="5"/>
  <c r="B54" i="5"/>
  <c r="A54" i="5"/>
  <c r="B53" i="5"/>
  <c r="A53" i="5"/>
  <c r="B52" i="5"/>
  <c r="A52" i="5"/>
  <c r="B51" i="5"/>
  <c r="A51" i="5"/>
  <c r="B50" i="5"/>
  <c r="A50" i="5"/>
  <c r="B49" i="5"/>
  <c r="A49" i="5"/>
  <c r="B48" i="5"/>
  <c r="A48" i="5"/>
  <c r="B47" i="5"/>
  <c r="A47" i="5"/>
  <c r="B46" i="5"/>
  <c r="A46" i="5"/>
  <c r="B45" i="5"/>
  <c r="A45" i="5"/>
  <c r="B44" i="5"/>
  <c r="A44" i="5"/>
  <c r="B43" i="5"/>
  <c r="A43" i="5"/>
  <c r="B42" i="5"/>
  <c r="A42" i="5"/>
  <c r="B41" i="5"/>
  <c r="A41" i="5"/>
  <c r="B40" i="5"/>
  <c r="A40" i="5"/>
  <c r="B39" i="5"/>
  <c r="A39" i="5"/>
  <c r="B38" i="5"/>
  <c r="A38" i="5"/>
  <c r="B37" i="5"/>
  <c r="A37" i="5"/>
  <c r="B36" i="5"/>
  <c r="A36" i="5"/>
  <c r="B35" i="5"/>
  <c r="A35" i="5"/>
  <c r="B34" i="5"/>
  <c r="A34" i="5"/>
  <c r="B33" i="5"/>
  <c r="A33" i="5"/>
  <c r="B32" i="5"/>
  <c r="A32" i="5"/>
  <c r="B31" i="5"/>
  <c r="A31" i="5"/>
  <c r="B30" i="5"/>
  <c r="A30" i="5"/>
  <c r="B29" i="5"/>
  <c r="A29" i="5"/>
  <c r="B28" i="5"/>
  <c r="A28" i="5"/>
  <c r="B27" i="5"/>
  <c r="A27" i="5"/>
  <c r="B26" i="5"/>
  <c r="A26" i="5"/>
  <c r="B25" i="5"/>
  <c r="A25" i="5"/>
  <c r="B24" i="5"/>
  <c r="A24" i="5"/>
  <c r="B23" i="5"/>
  <c r="A23" i="5"/>
  <c r="B22" i="5"/>
  <c r="A22" i="5"/>
  <c r="B21" i="5"/>
  <c r="A21" i="5"/>
  <c r="B20" i="5"/>
  <c r="A20" i="5"/>
  <c r="B19" i="5"/>
  <c r="A19" i="5"/>
  <c r="B18" i="5"/>
  <c r="A18" i="5"/>
  <c r="B17" i="5"/>
  <c r="A17" i="5"/>
  <c r="B16" i="5"/>
  <c r="A16" i="5"/>
  <c r="B15" i="5"/>
  <c r="A15" i="5"/>
  <c r="B14" i="5"/>
  <c r="A14" i="5"/>
  <c r="B13" i="5"/>
  <c r="A13" i="5"/>
  <c r="B12" i="5"/>
  <c r="A12" i="5"/>
  <c r="B11" i="5"/>
  <c r="A11" i="5"/>
  <c r="B10" i="5"/>
  <c r="A10" i="5"/>
  <c r="B9" i="5"/>
  <c r="A9" i="5"/>
  <c r="B8" i="5"/>
  <c r="A8" i="5"/>
  <c r="B7" i="5"/>
  <c r="A7" i="5"/>
  <c r="B6" i="5"/>
  <c r="A6" i="5"/>
  <c r="B5" i="5"/>
  <c r="A5" i="5"/>
  <c r="B4" i="5"/>
  <c r="A4" i="5"/>
  <c r="B3" i="5"/>
  <c r="A3" i="5"/>
  <c r="B2" i="5"/>
  <c r="A2" i="5"/>
  <c r="A42" i="12" l="1"/>
  <c r="A41" i="12"/>
  <c r="A40" i="12"/>
  <c r="A39" i="12"/>
  <c r="A38" i="12"/>
  <c r="A37" i="12"/>
  <c r="A36" i="12"/>
  <c r="A35" i="12"/>
  <c r="A34" i="12"/>
  <c r="A33" i="12"/>
  <c r="A32" i="12"/>
  <c r="A31" i="12"/>
  <c r="A30" i="12"/>
  <c r="A29" i="12"/>
  <c r="A28" i="12"/>
  <c r="A27" i="12"/>
  <c r="A26" i="12"/>
  <c r="A25" i="12"/>
  <c r="A24" i="12"/>
  <c r="A23" i="12"/>
  <c r="A21" i="12"/>
  <c r="A20" i="12"/>
  <c r="A19" i="12"/>
  <c r="A18" i="12"/>
  <c r="A17" i="12"/>
  <c r="A16" i="12"/>
  <c r="A15" i="12"/>
  <c r="A14" i="12"/>
  <c r="A13" i="12"/>
  <c r="A12" i="12"/>
  <c r="A11" i="12"/>
  <c r="A10" i="12"/>
  <c r="A9" i="12"/>
  <c r="A8" i="12"/>
  <c r="A7" i="12"/>
  <c r="A6" i="12"/>
  <c r="A5" i="12"/>
  <c r="A4" i="12"/>
  <c r="A3" i="12"/>
  <c r="A2" i="12"/>
  <c r="A25" i="10" l="1"/>
  <c r="A24" i="10"/>
  <c r="A23" i="10"/>
  <c r="A22" i="10"/>
  <c r="A21" i="10"/>
  <c r="A20" i="10"/>
  <c r="A19" i="10"/>
  <c r="A18" i="10"/>
  <c r="A17" i="10"/>
  <c r="A16" i="10"/>
  <c r="A15" i="10"/>
  <c r="A14" i="10"/>
  <c r="A13" i="10"/>
  <c r="A12" i="10"/>
  <c r="A11" i="10"/>
  <c r="A10" i="10"/>
  <c r="A9" i="10"/>
  <c r="A8" i="10"/>
  <c r="A7" i="10"/>
  <c r="A6" i="10"/>
  <c r="A5" i="10"/>
  <c r="A4" i="10"/>
  <c r="A3" i="10"/>
  <c r="A2" i="10"/>
  <c r="P5" i="1" l="1"/>
  <c r="P4" i="1"/>
  <c r="P3" i="1"/>
  <c r="P2" i="1"/>
  <c r="Z2" i="1"/>
  <c r="S7" i="1" l="1"/>
  <c r="T7" i="1" s="1"/>
  <c r="E17" i="1" l="1"/>
  <c r="E16" i="1"/>
  <c r="E15" i="1"/>
  <c r="E14" i="1"/>
  <c r="E13" i="1"/>
  <c r="Y5" i="1" l="1"/>
  <c r="Z5" i="1" s="1"/>
  <c r="Y4" i="1"/>
  <c r="Z4" i="1" s="1"/>
  <c r="Y3" i="1"/>
  <c r="Z3" i="1" s="1"/>
  <c r="W3" i="1"/>
  <c r="W2" i="1"/>
  <c r="W5" i="1"/>
  <c r="W4" i="1"/>
  <c r="C24" i="1" l="1"/>
  <c r="E24" i="1" s="1"/>
  <c r="C31" i="1"/>
  <c r="E31" i="1" s="1"/>
  <c r="C38" i="1"/>
  <c r="E38" i="1" s="1"/>
  <c r="C79" i="1"/>
  <c r="E79" i="1" s="1"/>
  <c r="C78" i="1"/>
  <c r="E78" i="1" s="1"/>
  <c r="C77" i="1"/>
  <c r="E77" i="1" s="1"/>
  <c r="C76" i="1"/>
  <c r="E76" i="1" s="1"/>
  <c r="C75" i="1"/>
  <c r="E75" i="1" s="1"/>
  <c r="C74" i="1"/>
  <c r="E74" i="1" s="1"/>
  <c r="C73" i="1"/>
  <c r="E73" i="1" s="1"/>
  <c r="C72" i="1"/>
  <c r="E72" i="1" s="1"/>
  <c r="C71" i="1"/>
  <c r="E71" i="1" s="1"/>
  <c r="C70" i="1"/>
  <c r="E70" i="1" s="1"/>
  <c r="C69" i="1"/>
  <c r="E69" i="1" s="1"/>
  <c r="C68" i="1"/>
  <c r="E68" i="1" s="1"/>
  <c r="C67" i="1"/>
  <c r="E67" i="1" s="1"/>
  <c r="C66" i="1"/>
  <c r="E66" i="1" s="1"/>
  <c r="C65" i="1"/>
  <c r="E65" i="1" s="1"/>
  <c r="C64" i="1"/>
  <c r="E64" i="1" s="1"/>
  <c r="C63" i="1"/>
  <c r="E63" i="1" s="1"/>
  <c r="C62" i="1"/>
  <c r="E62" i="1" s="1"/>
  <c r="C61" i="1"/>
  <c r="E61" i="1" s="1"/>
  <c r="C60" i="1"/>
  <c r="E60" i="1" s="1"/>
  <c r="C59" i="1"/>
  <c r="E59" i="1" s="1"/>
  <c r="C58" i="1"/>
  <c r="E58" i="1" s="1"/>
  <c r="C57" i="1"/>
  <c r="E57" i="1" s="1"/>
  <c r="C56" i="1"/>
  <c r="E56" i="1" s="1"/>
  <c r="C55" i="1"/>
  <c r="E55" i="1" s="1"/>
  <c r="C54" i="1"/>
  <c r="E54" i="1" s="1"/>
  <c r="C53" i="1"/>
  <c r="E53" i="1" s="1"/>
  <c r="C45" i="1"/>
  <c r="E45" i="1" s="1"/>
  <c r="C52" i="1"/>
  <c r="E52" i="1" s="1"/>
  <c r="B43" i="3" l="1"/>
  <c r="H43" i="3" s="1"/>
  <c r="F14" i="1" l="1"/>
  <c r="B79" i="1"/>
  <c r="B78" i="1"/>
  <c r="G77" i="1"/>
  <c r="B77" i="1"/>
  <c r="I76" i="1"/>
  <c r="G76" i="1"/>
  <c r="B76" i="1"/>
  <c r="I75" i="1"/>
  <c r="G75" i="1"/>
  <c r="B75" i="1"/>
  <c r="I74" i="1"/>
  <c r="B74" i="1"/>
  <c r="B73" i="1"/>
  <c r="B72" i="1"/>
  <c r="B71" i="1"/>
  <c r="B70" i="1"/>
  <c r="B69" i="1"/>
  <c r="B68" i="1"/>
  <c r="B67" i="1"/>
  <c r="B66" i="1"/>
  <c r="G49" i="1"/>
  <c r="A13" i="7" l="1"/>
  <c r="A12" i="7"/>
  <c r="A11" i="7"/>
  <c r="A10" i="7"/>
  <c r="A9" i="7"/>
  <c r="A8" i="7"/>
  <c r="A7" i="7"/>
  <c r="A6" i="7"/>
  <c r="A5" i="7"/>
  <c r="A4" i="7"/>
  <c r="A3" i="7"/>
  <c r="A2" i="7"/>
  <c r="G60" i="1" l="1"/>
  <c r="G59" i="1"/>
  <c r="G58" i="1"/>
  <c r="G57" i="1"/>
  <c r="G56" i="1"/>
  <c r="G55" i="1"/>
  <c r="G54" i="1"/>
  <c r="G53" i="1"/>
  <c r="G50" i="1"/>
  <c r="G48" i="1"/>
  <c r="G47" i="1"/>
  <c r="G44" i="1"/>
  <c r="G42" i="1"/>
  <c r="G40" i="1"/>
  <c r="G39" i="1"/>
  <c r="G38" i="1"/>
  <c r="G37" i="1"/>
  <c r="G36" i="1"/>
  <c r="G35" i="1"/>
  <c r="G34" i="1"/>
  <c r="G33" i="1"/>
  <c r="G32" i="1"/>
  <c r="G31" i="1"/>
  <c r="G30" i="1"/>
  <c r="G29" i="1"/>
  <c r="G28" i="1"/>
  <c r="G27" i="1"/>
  <c r="G26" i="1"/>
  <c r="G25" i="1"/>
  <c r="G24" i="1"/>
  <c r="G23" i="1"/>
  <c r="G22" i="1"/>
  <c r="C18" i="1" l="1"/>
  <c r="E18" i="1" s="1"/>
  <c r="B44" i="1"/>
  <c r="B43" i="1"/>
  <c r="B37" i="1"/>
  <c r="B36" i="1"/>
  <c r="B30" i="1"/>
  <c r="B29" i="1"/>
  <c r="B22" i="1"/>
  <c r="B23" i="1"/>
  <c r="C25" i="1" l="1"/>
  <c r="E25" i="1" s="1"/>
  <c r="F59" i="1"/>
  <c r="F58" i="1"/>
  <c r="F57" i="1"/>
  <c r="F56" i="1"/>
  <c r="F55" i="1"/>
  <c r="F49" i="1"/>
  <c r="F39" i="1"/>
  <c r="F38" i="1"/>
  <c r="F37" i="1"/>
  <c r="F35" i="1"/>
  <c r="F34" i="1"/>
  <c r="F33" i="1"/>
  <c r="F32" i="1"/>
  <c r="F31" i="1"/>
  <c r="F30" i="1"/>
  <c r="F28" i="1"/>
  <c r="F27" i="1"/>
  <c r="F26" i="1"/>
  <c r="F25" i="1"/>
  <c r="F24" i="1"/>
  <c r="F23" i="1"/>
  <c r="F21" i="1"/>
  <c r="F20" i="1"/>
  <c r="F19" i="1"/>
  <c r="F18" i="1"/>
  <c r="F17" i="1"/>
  <c r="F16" i="1"/>
  <c r="F15" i="1"/>
  <c r="F12" i="1"/>
  <c r="F11" i="1"/>
  <c r="F10" i="1"/>
  <c r="F9" i="1"/>
  <c r="F8" i="1"/>
  <c r="F7" i="1"/>
  <c r="F6" i="1"/>
  <c r="F5" i="1"/>
  <c r="F13" i="1"/>
  <c r="G21" i="1"/>
  <c r="G20" i="1"/>
  <c r="G19" i="1"/>
  <c r="G18" i="1"/>
  <c r="G17" i="1"/>
  <c r="G16" i="1"/>
  <c r="G15" i="1"/>
  <c r="G14" i="1"/>
  <c r="G13" i="1"/>
  <c r="G12" i="1"/>
  <c r="G11" i="1"/>
  <c r="G10" i="1"/>
  <c r="G9" i="1"/>
  <c r="G8" i="1"/>
  <c r="G7" i="1"/>
  <c r="G6" i="1"/>
  <c r="G5" i="1"/>
  <c r="G4" i="1"/>
  <c r="H60" i="1"/>
  <c r="H59" i="1"/>
  <c r="H58" i="1"/>
  <c r="H40" i="1"/>
  <c r="H39" i="1"/>
  <c r="H38" i="1"/>
  <c r="H37" i="1"/>
  <c r="H35" i="1"/>
  <c r="H34" i="1"/>
  <c r="H33" i="1"/>
  <c r="H32" i="1"/>
  <c r="H31" i="1"/>
  <c r="H30" i="1"/>
  <c r="H28" i="1"/>
  <c r="H27" i="1"/>
  <c r="H26" i="1"/>
  <c r="H25" i="1"/>
  <c r="H24" i="1"/>
  <c r="H23" i="1"/>
  <c r="H21" i="1"/>
  <c r="H20" i="1"/>
  <c r="H19" i="1"/>
  <c r="H18" i="1"/>
  <c r="H17" i="1"/>
  <c r="H16" i="1"/>
  <c r="H15" i="1"/>
  <c r="H14" i="1"/>
  <c r="H13" i="1"/>
  <c r="H12" i="1"/>
  <c r="H11" i="1"/>
  <c r="H10" i="1"/>
  <c r="H9" i="1"/>
  <c r="H8" i="1"/>
  <c r="B65" i="1"/>
  <c r="B64" i="1"/>
  <c r="B63" i="1"/>
  <c r="B62" i="1"/>
  <c r="B61" i="1"/>
  <c r="B60" i="1"/>
  <c r="I59" i="1"/>
  <c r="B59" i="1"/>
  <c r="I58" i="1"/>
  <c r="B58" i="1"/>
  <c r="I57" i="1"/>
  <c r="I56" i="1"/>
  <c r="I55" i="1"/>
  <c r="I54" i="1"/>
  <c r="I53" i="1"/>
  <c r="I52" i="1"/>
  <c r="I49" i="1"/>
  <c r="I48" i="1"/>
  <c r="I47" i="1"/>
  <c r="I46" i="1"/>
  <c r="I41" i="1"/>
  <c r="I39" i="1"/>
  <c r="I38" i="1"/>
  <c r="I37" i="1"/>
  <c r="I35" i="1"/>
  <c r="I34" i="1"/>
  <c r="I33" i="1"/>
  <c r="I32" i="1"/>
  <c r="I31" i="1"/>
  <c r="I30" i="1"/>
  <c r="I28" i="1"/>
  <c r="I27" i="1"/>
  <c r="I26" i="1"/>
  <c r="I25" i="1"/>
  <c r="I24" i="1"/>
  <c r="I23" i="1"/>
  <c r="I21" i="1"/>
  <c r="I20" i="1"/>
  <c r="I19" i="1"/>
  <c r="I18" i="1"/>
  <c r="I17" i="1"/>
  <c r="I16" i="1"/>
  <c r="I15" i="1"/>
  <c r="I14" i="1"/>
  <c r="I13" i="1"/>
  <c r="I12" i="1"/>
  <c r="I11" i="1"/>
  <c r="I10" i="1"/>
  <c r="I9" i="1"/>
  <c r="I8" i="1"/>
  <c r="I7" i="1"/>
  <c r="I6" i="1"/>
  <c r="I5" i="1"/>
  <c r="I4" i="1"/>
  <c r="I3" i="1"/>
  <c r="B57" i="1"/>
  <c r="B56" i="1"/>
  <c r="B55" i="1"/>
  <c r="B54" i="1"/>
  <c r="B53" i="1"/>
  <c r="B52" i="1"/>
  <c r="B51" i="1"/>
  <c r="B50" i="1"/>
  <c r="B49" i="1"/>
  <c r="B48" i="1"/>
  <c r="B47" i="1"/>
  <c r="B46" i="1"/>
  <c r="B45" i="1"/>
  <c r="B42" i="1"/>
  <c r="B41" i="1"/>
  <c r="B40" i="1"/>
  <c r="B39" i="1"/>
  <c r="B38" i="1"/>
  <c r="B35" i="1"/>
  <c r="B34" i="1"/>
  <c r="B33" i="1"/>
  <c r="B32" i="1"/>
  <c r="B31" i="1"/>
  <c r="B28" i="1"/>
  <c r="B27" i="1"/>
  <c r="B26" i="1"/>
  <c r="B25" i="1"/>
  <c r="B24" i="1"/>
  <c r="B21" i="1"/>
  <c r="B20" i="1"/>
  <c r="B19" i="1"/>
  <c r="B18" i="1"/>
  <c r="B17" i="1"/>
  <c r="B16" i="1"/>
  <c r="B15" i="1"/>
  <c r="B14" i="1"/>
  <c r="B13" i="1"/>
  <c r="B12" i="1"/>
  <c r="B11" i="1"/>
  <c r="B9" i="1"/>
  <c r="B8" i="1"/>
  <c r="C12" i="1"/>
  <c r="E12" i="1" s="1"/>
  <c r="C11" i="1"/>
  <c r="E11" i="1" s="1"/>
  <c r="C10" i="1"/>
  <c r="E10" i="1" s="1"/>
  <c r="C9" i="1"/>
  <c r="E9" i="1" s="1"/>
  <c r="C8" i="1"/>
  <c r="E8" i="1" s="1"/>
  <c r="C7" i="1"/>
  <c r="E7" i="1" s="1"/>
  <c r="C6" i="1"/>
  <c r="E6" i="1" s="1"/>
  <c r="C5" i="1"/>
  <c r="E5" i="1" s="1"/>
  <c r="C4" i="1"/>
  <c r="E4" i="1" s="1"/>
  <c r="C3" i="1"/>
  <c r="E3" i="1" s="1"/>
  <c r="C32" i="1" l="1"/>
  <c r="E32" i="1" s="1"/>
  <c r="A3" i="1"/>
  <c r="C23" i="1"/>
  <c r="C22" i="1"/>
  <c r="A6" i="1"/>
  <c r="A4" i="1"/>
  <c r="A59" i="1"/>
  <c r="A58" i="1"/>
  <c r="A13" i="1"/>
  <c r="A5" i="1"/>
  <c r="A12" i="1"/>
  <c r="A16" i="1"/>
  <c r="A14" i="1"/>
  <c r="A17" i="1"/>
  <c r="A10" i="1"/>
  <c r="A9" i="1"/>
  <c r="A8" i="1"/>
  <c r="A7" i="1"/>
  <c r="A11" i="1"/>
  <c r="A15" i="1"/>
  <c r="A18" i="1"/>
  <c r="C20" i="1"/>
  <c r="C21" i="1"/>
  <c r="C19" i="1"/>
  <c r="E19" i="1" l="1"/>
  <c r="D19" i="1"/>
  <c r="E22" i="1"/>
  <c r="D22" i="1"/>
  <c r="E23" i="1"/>
  <c r="D23" i="1"/>
  <c r="E20" i="1"/>
  <c r="D20" i="1"/>
  <c r="E21" i="1"/>
  <c r="D21" i="1"/>
  <c r="C29" i="1"/>
  <c r="C30" i="1"/>
  <c r="D30" i="1" s="1"/>
  <c r="C39" i="1"/>
  <c r="C28" i="1"/>
  <c r="D28" i="1" s="1"/>
  <c r="C27" i="1"/>
  <c r="D27" i="1" s="1"/>
  <c r="C26" i="1"/>
  <c r="D26" i="1" s="1"/>
  <c r="B45" i="3"/>
  <c r="A19" i="1"/>
  <c r="A24" i="1"/>
  <c r="A22" i="1"/>
  <c r="A21" i="1"/>
  <c r="A23" i="1"/>
  <c r="A20" i="1"/>
  <c r="B42" i="3"/>
  <c r="H42" i="3" s="1"/>
  <c r="B40" i="3"/>
  <c r="C40" i="3" s="1"/>
  <c r="H40" i="3" s="1"/>
  <c r="A25" i="1"/>
  <c r="E29" i="1" l="1"/>
  <c r="D29" i="1"/>
  <c r="C45" i="3"/>
  <c r="H45" i="3" s="1"/>
  <c r="B44" i="3"/>
  <c r="H44" i="3" s="1"/>
  <c r="C33" i="1"/>
  <c r="E26" i="1"/>
  <c r="C34" i="1"/>
  <c r="E27" i="1"/>
  <c r="C35" i="1"/>
  <c r="E28" i="1"/>
  <c r="C46" i="1"/>
  <c r="E46" i="1" s="1"/>
  <c r="E39" i="1"/>
  <c r="C37" i="1"/>
  <c r="E30" i="1"/>
  <c r="C36" i="1"/>
  <c r="A31" i="1"/>
  <c r="A28" i="1"/>
  <c r="A26" i="1"/>
  <c r="A30" i="1"/>
  <c r="A27" i="1"/>
  <c r="A29" i="1"/>
  <c r="A32" i="1"/>
  <c r="E35" i="1" l="1"/>
  <c r="D35" i="1"/>
  <c r="E34" i="1"/>
  <c r="D34" i="1"/>
  <c r="E36" i="1"/>
  <c r="D36" i="1"/>
  <c r="E37" i="1"/>
  <c r="D37" i="1"/>
  <c r="E33" i="1"/>
  <c r="D33" i="1"/>
  <c r="C41" i="1"/>
  <c r="C43" i="1"/>
  <c r="C42" i="1"/>
  <c r="C44" i="1"/>
  <c r="D44" i="1" s="1"/>
  <c r="C40" i="1"/>
  <c r="A37" i="1"/>
  <c r="A33" i="1"/>
  <c r="A38" i="1"/>
  <c r="A35" i="1"/>
  <c r="A36" i="1"/>
  <c r="A39" i="1"/>
  <c r="A34" i="1"/>
  <c r="D40" i="1" l="1"/>
  <c r="E43" i="1"/>
  <c r="D43" i="1"/>
  <c r="E41" i="1"/>
  <c r="D41" i="1"/>
  <c r="E42" i="1"/>
  <c r="D42" i="1"/>
  <c r="C49" i="1"/>
  <c r="C50" i="1"/>
  <c r="C48" i="1"/>
  <c r="C47" i="1"/>
  <c r="E40" i="1"/>
  <c r="C51" i="1"/>
  <c r="E44" i="1"/>
  <c r="G41" i="1" l="1"/>
  <c r="F41" i="1"/>
  <c r="H41" i="1"/>
  <c r="F40" i="1"/>
  <c r="H42" i="1"/>
  <c r="I40" i="1"/>
  <c r="E47" i="1"/>
  <c r="D47" i="1"/>
  <c r="E50" i="1"/>
  <c r="D50" i="1"/>
  <c r="E51" i="1"/>
  <c r="D51" i="1"/>
  <c r="E48" i="1"/>
  <c r="D48" i="1"/>
  <c r="E49" i="1"/>
  <c r="D49" i="1"/>
  <c r="A40" i="1" l="1"/>
  <c r="A41" i="1"/>
  <c r="B51" i="3"/>
  <c r="D51" i="3"/>
  <c r="C51" i="3"/>
  <c r="H50" i="3" l="1"/>
  <c r="H51" i="3"/>
  <c r="F64" i="1" l="1"/>
  <c r="F66" i="1"/>
  <c r="F54" i="1"/>
  <c r="F67" i="1"/>
  <c r="F62" i="1"/>
  <c r="F71" i="1"/>
  <c r="F72" i="1"/>
  <c r="F46" i="1"/>
  <c r="F60" i="1"/>
  <c r="F65" i="1"/>
  <c r="F63" i="1"/>
  <c r="F68" i="1"/>
  <c r="F50" i="1"/>
  <c r="F70" i="1"/>
  <c r="F74" i="1"/>
  <c r="F47" i="1"/>
  <c r="F52" i="1"/>
  <c r="F73" i="1"/>
  <c r="F69" i="1"/>
  <c r="F48" i="1"/>
  <c r="C153" i="3"/>
  <c r="F75" i="1"/>
  <c r="F51" i="1"/>
  <c r="F77" i="1"/>
  <c r="B152" i="3"/>
  <c r="F45" i="1"/>
  <c r="F53" i="1"/>
  <c r="F76" i="1"/>
  <c r="F79" i="1"/>
  <c r="I79" i="1"/>
  <c r="H79" i="1"/>
  <c r="I78" i="1"/>
  <c r="G79" i="1"/>
  <c r="G78" i="1"/>
  <c r="I77" i="1"/>
  <c r="H78" i="1"/>
  <c r="G65" i="1"/>
  <c r="H65" i="1"/>
  <c r="I64" i="1"/>
  <c r="G64" i="1"/>
  <c r="H64" i="1"/>
  <c r="I63" i="1"/>
  <c r="I42" i="1"/>
  <c r="H44" i="1"/>
  <c r="G43" i="1"/>
  <c r="A43" i="1" s="1"/>
  <c r="H71" i="1"/>
  <c r="I70" i="1"/>
  <c r="G71" i="1"/>
  <c r="H62" i="1"/>
  <c r="G62" i="1"/>
  <c r="I61" i="1"/>
  <c r="H77" i="1"/>
  <c r="G74" i="1"/>
  <c r="H76" i="1"/>
  <c r="A76" i="1" s="1"/>
  <c r="H75" i="1"/>
  <c r="I73" i="1"/>
  <c r="H74" i="1"/>
  <c r="H66" i="1"/>
  <c r="I65" i="1"/>
  <c r="G66" i="1"/>
  <c r="I71" i="1"/>
  <c r="G72" i="1"/>
  <c r="H72" i="1"/>
  <c r="G70" i="1"/>
  <c r="I69" i="1"/>
  <c r="G69" i="1"/>
  <c r="H70" i="1"/>
  <c r="H45" i="1"/>
  <c r="I44" i="1"/>
  <c r="H51" i="1"/>
  <c r="I50" i="1"/>
  <c r="C152" i="3"/>
  <c r="B153" i="3"/>
  <c r="D153" i="3"/>
  <c r="D152" i="3"/>
  <c r="E152" i="3" s="1"/>
  <c r="F42" i="1"/>
  <c r="B151" i="3" a="1"/>
  <c r="B151" i="3" s="1"/>
  <c r="I68" i="1"/>
  <c r="G68" i="1"/>
  <c r="H69" i="1"/>
  <c r="H73" i="1"/>
  <c r="G73" i="1"/>
  <c r="I72" i="1"/>
  <c r="I60" i="1"/>
  <c r="H61" i="1"/>
  <c r="G61" i="1"/>
  <c r="H48" i="1"/>
  <c r="H47" i="1"/>
  <c r="G46" i="1"/>
  <c r="H50" i="1"/>
  <c r="I45" i="1"/>
  <c r="H46" i="1"/>
  <c r="G45" i="1"/>
  <c r="H49" i="1"/>
  <c r="A49" i="1" s="1"/>
  <c r="I66" i="1"/>
  <c r="H67" i="1"/>
  <c r="H68" i="1"/>
  <c r="G67" i="1"/>
  <c r="I67" i="1"/>
  <c r="I62" i="1"/>
  <c r="H63" i="1"/>
  <c r="G63" i="1"/>
  <c r="H54" i="1"/>
  <c r="H55" i="1"/>
  <c r="A55" i="1" s="1"/>
  <c r="G52" i="1"/>
  <c r="H53" i="1"/>
  <c r="H56" i="1"/>
  <c r="A56" i="1" s="1"/>
  <c r="H57" i="1"/>
  <c r="A57" i="1" s="1"/>
  <c r="H52" i="1"/>
  <c r="G51" i="1"/>
  <c r="I51" i="1"/>
  <c r="F44" i="1"/>
  <c r="F61" i="1"/>
  <c r="F78" i="1"/>
  <c r="A77" i="1" l="1"/>
  <c r="A78" i="1"/>
  <c r="A79" i="1"/>
  <c r="A75" i="1"/>
  <c r="A74" i="1"/>
  <c r="A72" i="1"/>
  <c r="A73" i="1"/>
  <c r="A71" i="1"/>
  <c r="A70" i="1"/>
  <c r="A68" i="1"/>
  <c r="A67" i="1"/>
  <c r="A42" i="1"/>
  <c r="A53" i="1"/>
  <c r="A45" i="1"/>
  <c r="A69" i="1"/>
  <c r="A63" i="1"/>
  <c r="A54" i="1"/>
  <c r="A65" i="1"/>
  <c r="A66" i="1"/>
  <c r="A48" i="1"/>
  <c r="A60" i="1"/>
  <c r="A61" i="1"/>
  <c r="A44" i="1"/>
  <c r="A47" i="1"/>
  <c r="A46" i="1"/>
  <c r="A62" i="1"/>
  <c r="A51" i="1"/>
  <c r="A50" i="1"/>
  <c r="H152" i="3"/>
  <c r="A52" i="1"/>
  <c r="A64" i="1"/>
  <c r="E153" i="3"/>
  <c r="H153" i="3" s="1"/>
  <c r="B85" i="3" l="1"/>
  <c r="C84" i="3"/>
  <c r="C78" i="3"/>
  <c r="E78" i="3" s="1"/>
  <c r="C68" i="3"/>
  <c r="B100" i="3"/>
  <c r="B68" i="3"/>
  <c r="B99" i="3"/>
  <c r="B83" i="3"/>
  <c r="C100" i="3"/>
  <c r="B103" i="3"/>
  <c r="C101" i="3"/>
  <c r="D83" i="3"/>
  <c r="B118" i="3"/>
  <c r="C112" i="3"/>
  <c r="E112" i="3" s="1"/>
  <c r="C61" i="3"/>
  <c r="E61" i="3" s="1"/>
  <c r="D112" i="3"/>
  <c r="D82" i="3"/>
  <c r="B69" i="3"/>
  <c r="C69" i="3"/>
  <c r="C67" i="3"/>
  <c r="B112" i="3"/>
  <c r="D120" i="3"/>
  <c r="B116" i="3"/>
  <c r="D78" i="3"/>
  <c r="C66" i="3"/>
  <c r="D65" i="3"/>
  <c r="B102" i="3"/>
  <c r="C117" i="3"/>
  <c r="C120" i="3"/>
  <c r="C118" i="3"/>
  <c r="C116" i="3"/>
  <c r="D100" i="3"/>
  <c r="D119" i="3"/>
  <c r="B82" i="3"/>
  <c r="C65" i="3"/>
  <c r="D61" i="3" s="1"/>
  <c r="D67" i="3"/>
  <c r="B120" i="3"/>
  <c r="C103" i="3"/>
  <c r="B95" i="3"/>
  <c r="C82" i="3"/>
  <c r="C99" i="3"/>
  <c r="D66" i="3"/>
  <c r="B66" i="3"/>
  <c r="D95" i="3"/>
  <c r="C119" i="3"/>
  <c r="C102" i="3"/>
  <c r="B101" i="3"/>
  <c r="B65" i="3"/>
  <c r="D101" i="3"/>
  <c r="D99" i="3"/>
  <c r="D118" i="3"/>
  <c r="D69" i="3"/>
  <c r="B61" i="3"/>
  <c r="C83" i="3"/>
  <c r="D103" i="3"/>
  <c r="B67" i="3"/>
  <c r="C95" i="3"/>
  <c r="E95" i="3" s="1"/>
  <c r="D117" i="3"/>
  <c r="D102" i="3"/>
  <c r="D68" i="3"/>
  <c r="B117" i="3"/>
  <c r="B78" i="3"/>
  <c r="D116" i="3"/>
  <c r="B119" i="3"/>
  <c r="B84" i="3"/>
  <c r="B161" i="3"/>
  <c r="B163" i="3"/>
  <c r="D85" i="3"/>
  <c r="B86" i="3"/>
  <c r="D136" i="3"/>
  <c r="D165" i="3"/>
  <c r="D84" i="3"/>
  <c r="D86" i="3"/>
  <c r="C85" i="3"/>
  <c r="C86" i="3"/>
  <c r="C134" i="3"/>
  <c r="D162" i="3"/>
  <c r="C138" i="3"/>
  <c r="C165" i="3"/>
  <c r="D161" i="3"/>
  <c r="C161" i="3"/>
  <c r="B165" i="3"/>
  <c r="E165" i="3" s="1"/>
  <c r="B134" i="3"/>
  <c r="C159" i="3"/>
  <c r="B137" i="3"/>
  <c r="B136" i="3"/>
  <c r="C136" i="3"/>
  <c r="D130" i="3"/>
  <c r="B130" i="3"/>
  <c r="H139" i="3" s="1"/>
  <c r="C135" i="3"/>
  <c r="C130" i="3"/>
  <c r="E130" i="3" s="1"/>
  <c r="B135" i="3"/>
  <c r="B138" i="3"/>
  <c r="C158" i="3"/>
  <c r="B159" i="3"/>
  <c r="D137" i="3"/>
  <c r="D163" i="3"/>
  <c r="C163" i="3"/>
  <c r="C160" i="3"/>
  <c r="D159" i="3"/>
  <c r="D134" i="3"/>
  <c r="D160" i="3"/>
  <c r="B162" i="3"/>
  <c r="C162" i="3"/>
  <c r="C137" i="3"/>
  <c r="D135" i="3"/>
  <c r="D138" i="3"/>
  <c r="B160" i="3"/>
  <c r="B158" i="3"/>
  <c r="D158" i="3"/>
  <c r="H137" i="3" l="1"/>
  <c r="H119" i="3"/>
  <c r="H120" i="3"/>
  <c r="H83" i="3"/>
  <c r="F95" i="3"/>
  <c r="H95" i="3" s="1"/>
  <c r="H102" i="3"/>
  <c r="H103" i="3"/>
  <c r="H118" i="3"/>
  <c r="H86" i="3"/>
  <c r="H84" i="3"/>
  <c r="F61" i="3"/>
  <c r="H61" i="3" s="1"/>
  <c r="F112" i="3"/>
  <c r="H112" i="3" s="1"/>
  <c r="F130" i="3"/>
  <c r="H130" i="3" s="1"/>
  <c r="H67" i="3"/>
  <c r="H68" i="3"/>
  <c r="H69" i="3"/>
  <c r="H101" i="3"/>
  <c r="F78" i="3"/>
  <c r="H78" i="3" s="1"/>
  <c r="H81" i="3"/>
  <c r="H90" i="3"/>
  <c r="H87" i="3"/>
  <c r="H79" i="3"/>
  <c r="H89" i="3"/>
  <c r="H88" i="3"/>
  <c r="H77" i="3"/>
  <c r="H82" i="3"/>
  <c r="H80" i="3"/>
  <c r="H98" i="3"/>
  <c r="H100" i="3"/>
  <c r="H107" i="3"/>
  <c r="H97" i="3"/>
  <c r="H99" i="3"/>
  <c r="H105" i="3"/>
  <c r="H106" i="3"/>
  <c r="H96" i="3"/>
  <c r="H94" i="3"/>
  <c r="H104" i="3"/>
  <c r="H75" i="3"/>
  <c r="H62" i="3"/>
  <c r="H63" i="3"/>
  <c r="H66" i="3"/>
  <c r="H71" i="3"/>
  <c r="H65" i="3"/>
  <c r="H70" i="3"/>
  <c r="H72" i="3"/>
  <c r="H64" i="3"/>
  <c r="H73" i="3"/>
  <c r="H60" i="3"/>
  <c r="H113" i="3"/>
  <c r="H92" i="3"/>
  <c r="H124" i="3"/>
  <c r="H117" i="3"/>
  <c r="H123" i="3"/>
  <c r="H111" i="3"/>
  <c r="H115" i="3"/>
  <c r="H122" i="3"/>
  <c r="H109" i="3"/>
  <c r="H121" i="3"/>
  <c r="H114" i="3"/>
  <c r="H116" i="3"/>
  <c r="H165" i="3"/>
  <c r="H85" i="3"/>
  <c r="H132" i="3"/>
  <c r="H140" i="3"/>
  <c r="H133" i="3"/>
  <c r="H142" i="3"/>
  <c r="H163" i="3"/>
  <c r="H136" i="3"/>
  <c r="H134" i="3"/>
  <c r="H129" i="3"/>
  <c r="H141" i="3"/>
  <c r="H126" i="3"/>
  <c r="H138" i="3"/>
  <c r="H131" i="3"/>
  <c r="H13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<sst xmlns="http://schemas.openxmlformats.org/spreadsheetml/2006/main" count="2436" uniqueCount="1024">
  <si>
    <t>Certifications</t>
  </si>
  <si>
    <t>Name</t>
  </si>
  <si>
    <t>Location</t>
  </si>
  <si>
    <t>Phone</t>
  </si>
  <si>
    <t>Email</t>
  </si>
  <si>
    <t>Pronouns</t>
  </si>
  <si>
    <t>Employment_1</t>
  </si>
  <si>
    <t>Education</t>
  </si>
  <si>
    <t>Skills</t>
  </si>
  <si>
    <t>Static</t>
  </si>
  <si>
    <t>Server</t>
  </si>
  <si>
    <t>Host</t>
  </si>
  <si>
    <t>ID</t>
  </si>
  <si>
    <t>References</t>
  </si>
  <si>
    <t>%-------------------------------------------------------------%</t>
  </si>
  <si>
    <t>%</t>
  </si>
  <si>
    <t>\usepackage{tabularx}</t>
  </si>
  <si>
    <t>\usepackage{enumitem}</t>
  </si>
  <si>
    <t>\begin{document}</t>
  </si>
  <si>
    <t>% EXPERIENCE</t>
  </si>
  <si>
    <t>% EDUCATION</t>
  </si>
  <si>
    <t>\end{document}</t>
  </si>
  <si>
    <t>% PACKAGES</t>
  </si>
  <si>
    <t>Employment_Description_11</t>
  </si>
  <si>
    <t>Employment_Description_12</t>
  </si>
  <si>
    <t>Employment_Description_13</t>
  </si>
  <si>
    <t>Employment_Description_14</t>
  </si>
  <si>
    <t>Employment_2</t>
  </si>
  <si>
    <t>Employment_Description_21</t>
  </si>
  <si>
    <t>Employment_Description_22</t>
  </si>
  <si>
    <t>Employment_Description_23</t>
  </si>
  <si>
    <t>Employment_Description_24</t>
  </si>
  <si>
    <t>Employment_3</t>
  </si>
  <si>
    <t>Employment_Description_31</t>
  </si>
  <si>
    <t>Employment_Description_32</t>
  </si>
  <si>
    <t>Employment_Description_33</t>
  </si>
  <si>
    <t>Employment_Description_34</t>
  </si>
  <si>
    <t>Employment_4</t>
  </si>
  <si>
    <t>Employment_Description_41</t>
  </si>
  <si>
    <t>Employment_Description_42</t>
  </si>
  <si>
    <t>Employment_Description_43</t>
  </si>
  <si>
    <t>Employment_Description_44</t>
  </si>
  <si>
    <t>High School</t>
  </si>
  <si>
    <t>Post Secondary</t>
  </si>
  <si>
    <t>Skill_1</t>
  </si>
  <si>
    <t>Skill_2</t>
  </si>
  <si>
    <t>Skill_3</t>
  </si>
  <si>
    <t>Skill_4</t>
  </si>
  <si>
    <t>Skill_5</t>
  </si>
  <si>
    <t>Skill_6</t>
  </si>
  <si>
    <t>Cashier</t>
  </si>
  <si>
    <t>% SKILLS</t>
  </si>
  <si>
    <t>Company E</t>
  </si>
  <si>
    <t>Company B</t>
  </si>
  <si>
    <t>Company C</t>
  </si>
  <si>
    <t>Certification</t>
  </si>
  <si>
    <t>Sales Associate</t>
  </si>
  <si>
    <t>Walmart</t>
  </si>
  <si>
    <t>McDonald's</t>
  </si>
  <si>
    <t>Target</t>
  </si>
  <si>
    <t>Home Depot</t>
  </si>
  <si>
    <t>Applebee's</t>
  </si>
  <si>
    <t>Position</t>
  </si>
  <si>
    <t>Company</t>
  </si>
  <si>
    <t>Company A</t>
  </si>
  <si>
    <t>Company D</t>
  </si>
  <si>
    <t>Company F</t>
  </si>
  <si>
    <t>Company G</t>
  </si>
  <si>
    <t>Company H</t>
  </si>
  <si>
    <t>Company I</t>
  </si>
  <si>
    <t>ID2</t>
  </si>
  <si>
    <t>ID1</t>
  </si>
  <si>
    <t>Olive Garden</t>
  </si>
  <si>
    <t>Buffalo Wild Wings</t>
  </si>
  <si>
    <t>IHOP</t>
  </si>
  <si>
    <t>Outback Steakhouse</t>
  </si>
  <si>
    <t>Barista</t>
  </si>
  <si>
    <t>Starbucks</t>
  </si>
  <si>
    <t>Scooter's Coffee</t>
  </si>
  <si>
    <t>Old Navy</t>
  </si>
  <si>
    <t>Receptionist</t>
  </si>
  <si>
    <t>Employment_Description_15</t>
  </si>
  <si>
    <t>Employment_Description_25</t>
  </si>
  <si>
    <t>Employment_Description_35</t>
  </si>
  <si>
    <t>Employment_Description_45</t>
  </si>
  <si>
    <t>Caregiver</t>
  </si>
  <si>
    <t>Seattle, WA</t>
  </si>
  <si>
    <t>Spokane, WA</t>
  </si>
  <si>
    <t>Salt Lake City, UT</t>
  </si>
  <si>
    <t>Provo, UT</t>
  </si>
  <si>
    <t>Denver, CO</t>
  </si>
  <si>
    <t>Colorado Springs, CO</t>
  </si>
  <si>
    <t>Company J</t>
  </si>
  <si>
    <t>Holiday Inn</t>
  </si>
  <si>
    <t>Planet Fitness</t>
  </si>
  <si>
    <t>LaVida Massage</t>
  </si>
  <si>
    <t>Elements Massage</t>
  </si>
  <si>
    <t>The Spa at Four Seasons</t>
  </si>
  <si>
    <t>MultiCare Health System</t>
  </si>
  <si>
    <t>Roth Medical Clinic</t>
  </si>
  <si>
    <t>Arbor Family Medicine</t>
  </si>
  <si>
    <t>Matthews Vu Medical Group</t>
  </si>
  <si>
    <t>Premier Family Medical</t>
  </si>
  <si>
    <t>Etheridge Family Dentistry</t>
  </si>
  <si>
    <t>Maple Street Family Dentistry</t>
  </si>
  <si>
    <t>Comfort Dental</t>
  </si>
  <si>
    <t>Provo Dental</t>
  </si>
  <si>
    <t>Sea Mar Community Health Centers</t>
  </si>
  <si>
    <t>Excelsior Family Medicine</t>
  </si>
  <si>
    <t>A Better Back Clinic</t>
  </si>
  <si>
    <t>Peak Vista Community Health Centers</t>
  </si>
  <si>
    <t>Mountainlands Family Health Center</t>
  </si>
  <si>
    <t>Greenlake Primary Care</t>
  </si>
  <si>
    <t>Rockwood Pediatric Clinic</t>
  </si>
  <si>
    <t>Pure Dermatology</t>
  </si>
  <si>
    <t>Family Care Center</t>
  </si>
  <si>
    <t>The Thyroid Clinic</t>
  </si>
  <si>
    <t>Revere Health</t>
  </si>
  <si>
    <t>Days Inn</t>
  </si>
  <si>
    <t>Broadway Veterinary Hospital</t>
  </si>
  <si>
    <t>Hunter Veterinary Clinic</t>
  </si>
  <si>
    <t>CityVet</t>
  </si>
  <si>
    <t>Bear Creek Veterinary Hospital</t>
  </si>
  <si>
    <t>Sugar House Veterinary Hospital</t>
  </si>
  <si>
    <t>Park Animal Hospital</t>
  </si>
  <si>
    <t>Customer Service Representative</t>
  </si>
  <si>
    <t>Verizon</t>
  </si>
  <si>
    <t>T-Mobile</t>
  </si>
  <si>
    <t>Gabb Wireless</t>
  </si>
  <si>
    <t>Alorica</t>
  </si>
  <si>
    <t>Deckers Brands</t>
  </si>
  <si>
    <t>Umpqua Bank</t>
  </si>
  <si>
    <t>US Bank</t>
  </si>
  <si>
    <t>Bank of America</t>
  </si>
  <si>
    <t>Discover Financial Services</t>
  </si>
  <si>
    <t>Varo Bank</t>
  </si>
  <si>
    <t>Allstate Insurance</t>
  </si>
  <si>
    <t>Fred Loya Insurance</t>
  </si>
  <si>
    <t>Travelers Insurance</t>
  </si>
  <si>
    <t>Farmers Insurance Group</t>
  </si>
  <si>
    <t>Wallaroos Furniture</t>
  </si>
  <si>
    <t>Levi Strauss &amp; Co.</t>
  </si>
  <si>
    <t>La Senza</t>
  </si>
  <si>
    <t>Sportsman's Warehouse</t>
  </si>
  <si>
    <t>doTERRA International</t>
  </si>
  <si>
    <t>Safeway</t>
  </si>
  <si>
    <t>Macey's</t>
  </si>
  <si>
    <t>Dollar Tree</t>
  </si>
  <si>
    <t>Staples</t>
  </si>
  <si>
    <t>Big 5 Sporting Goods</t>
  </si>
  <si>
    <t>Red Robin</t>
  </si>
  <si>
    <t>Dutch Bros Coffee</t>
  </si>
  <si>
    <t>Thomas Hammer Coffee Roasters</t>
  </si>
  <si>
    <t>Ziggi's Coffee</t>
  </si>
  <si>
    <t>Beans and Brews</t>
  </si>
  <si>
    <t>Terre Coffee and Bakery</t>
  </si>
  <si>
    <t>Caribou Coffee</t>
  </si>
  <si>
    <t>The Human Bean</t>
  </si>
  <si>
    <t>Alpha Coffee</t>
  </si>
  <si>
    <t>Black Rifle Coffee Company</t>
  </si>
  <si>
    <t>Blissful Blends</t>
  </si>
  <si>
    <t>Cupla Coffee</t>
  </si>
  <si>
    <t>Mom Fulton's Café</t>
  </si>
  <si>
    <t>Crew Member</t>
  </si>
  <si>
    <t>Certified Nursing Assistant</t>
  </si>
  <si>
    <t>Housekeeper</t>
  </si>
  <si>
    <t>Lifeguard</t>
  </si>
  <si>
    <t>Dishwasher</t>
  </si>
  <si>
    <t>Sacred Heart Children's Hospital</t>
  </si>
  <si>
    <t>The University of Colorado Hospital</t>
  </si>
  <si>
    <t>University of Utah Hospital</t>
  </si>
  <si>
    <t>Utah Valley Hospital</t>
  </si>
  <si>
    <t>Marriott</t>
  </si>
  <si>
    <t>Orchard Crest Retirement Community</t>
  </si>
  <si>
    <t>Morningstar Senior Living</t>
  </si>
  <si>
    <t>Brookdale Senior Living</t>
  </si>
  <si>
    <t>Summit Senior Living</t>
  </si>
  <si>
    <t>Visiting Angels</t>
  </si>
  <si>
    <t>YMCA</t>
  </si>
  <si>
    <t>Gold's Gym</t>
  </si>
  <si>
    <t>Denver Parks and Recreation</t>
  </si>
  <si>
    <t>Valley Swim Club</t>
  </si>
  <si>
    <t>Northwest Recreation Center</t>
  </si>
  <si>
    <t>Orem Fitness Center</t>
  </si>
  <si>
    <t>P.F. Chang's</t>
  </si>
  <si>
    <t>Panera Bread</t>
  </si>
  <si>
    <t>Corner Bakery Café</t>
  </si>
  <si>
    <t>Great Harvest Bread Co</t>
  </si>
  <si>
    <t>STEP ONE: Declare City</t>
  </si>
  <si>
    <t>STEP TWO: Paste from Word Document into I3 below</t>
  </si>
  <si>
    <t>Step Three: Copy Column H into Overleaf, starting at H3</t>
  </si>
  <si>
    <t>Wave Broadband</t>
  </si>
  <si>
    <t>Washington Federal Bank</t>
  </si>
  <si>
    <t>American Family Insurance</t>
  </si>
  <si>
    <t>Keyston Bros</t>
  </si>
  <si>
    <t>Bigfoot Java</t>
  </si>
  <si>
    <t>Dilettante Mocha Café</t>
  </si>
  <si>
    <t>Mercurys Coffee</t>
  </si>
  <si>
    <t>Seattle Children's Hospital</t>
  </si>
  <si>
    <t>Washington Athletic Club</t>
  </si>
  <si>
    <t>Summary</t>
  </si>
  <si>
    <t>Randomization</t>
  </si>
  <si>
    <t>H\&amp;R Block</t>
  </si>
  <si>
    <t>AT\&amp;T</t>
  </si>
  <si>
    <t>Company K</t>
  </si>
  <si>
    <t>Company L</t>
  </si>
  <si>
    <t>Wendy's</t>
  </si>
  <si>
    <t>Taco Bell</t>
  </si>
  <si>
    <t>Administrative Assistant</t>
  </si>
  <si>
    <t>Cook</t>
  </si>
  <si>
    <t>Baker</t>
  </si>
  <si>
    <t>Assembler</t>
  </si>
  <si>
    <t>Construction Worker</t>
  </si>
  <si>
    <t>Truck Driver</t>
  </si>
  <si>
    <t>Warehouse Worker</t>
  </si>
  <si>
    <t>Janitor</t>
  </si>
  <si>
    <t>Landscaper</t>
  </si>
  <si>
    <t>Delivery Driver</t>
  </si>
  <si>
    <t>Medical Receptionist</t>
  </si>
  <si>
    <t>Dental Receptionist</t>
  </si>
  <si>
    <t>Veterinary Receptionist</t>
  </si>
  <si>
    <t>Front Desk Receptionist</t>
  </si>
  <si>
    <t>Fairwinds Retirement Community</t>
  </si>
  <si>
    <t>Summerfield Retirement</t>
  </si>
  <si>
    <t>San Marino Retirement Community</t>
  </si>
  <si>
    <t>Winslow Court Retirement Community</t>
  </si>
  <si>
    <t>SmileCOS Dentistry</t>
  </si>
  <si>
    <t>The Denver Dentists</t>
  </si>
  <si>
    <t>Cougar Dental</t>
  </si>
  <si>
    <t>City Center Dental</t>
  </si>
  <si>
    <t>NorthView Family Dental</t>
  </si>
  <si>
    <t>Seattle Dental Co.</t>
  </si>
  <si>
    <t>Peaks at Millcreek</t>
  </si>
  <si>
    <t>retirement!</t>
  </si>
  <si>
    <t>Capitol Hill Assisted \&amp; Senior Living</t>
  </si>
  <si>
    <t>Cogir of Queen Anne</t>
  </si>
  <si>
    <t>Aegis Living Madison</t>
  </si>
  <si>
    <t>Providence Emilie Court Assisted Living</t>
  </si>
  <si>
    <t>Cove Point Retirement</t>
  </si>
  <si>
    <t>The Argyle</t>
  </si>
  <si>
    <t>The Bridge at Colorado Springs</t>
  </si>
  <si>
    <t>DoorDash</t>
  </si>
  <si>
    <t>Company ZA</t>
  </si>
  <si>
    <t>Company ZB</t>
  </si>
  <si>
    <t>School</t>
  </si>
  <si>
    <t>Bellevue College</t>
  </si>
  <si>
    <t>Highline Community College</t>
  </si>
  <si>
    <t>Spokane Community College</t>
  </si>
  <si>
    <t>Spokane Falls Community College</t>
  </si>
  <si>
    <t>Salt Lake Community College</t>
  </si>
  <si>
    <t>Utah Valley University</t>
  </si>
  <si>
    <t>Snow College</t>
  </si>
  <si>
    <t>Community College Of Denver</t>
  </si>
  <si>
    <t>Front Range Community College</t>
  </si>
  <si>
    <t>Pikes Peak Community College</t>
  </si>
  <si>
    <t>University of Washington</t>
  </si>
  <si>
    <t>Washington State University</t>
  </si>
  <si>
    <t>Eastern Washington University</t>
  </si>
  <si>
    <t>University of Utah</t>
  </si>
  <si>
    <t>Brigham Young University</t>
  </si>
  <si>
    <t>University of Colorado</t>
  </si>
  <si>
    <t>Metropolitan State University</t>
  </si>
  <si>
    <t>Colorado State University</t>
  </si>
  <si>
    <t>College A</t>
  </si>
  <si>
    <t>College B</t>
  </si>
  <si>
    <t>University A</t>
  </si>
  <si>
    <t>University B</t>
  </si>
  <si>
    <t>only include occupation specific if needed (cook)</t>
  </si>
  <si>
    <t>City, State</t>
  </si>
  <si>
    <t>email</t>
  </si>
  <si>
    <t>Employment History</t>
  </si>
  <si>
    <t>2021-2023</t>
  </si>
  <si>
    <t>2020-2021</t>
  </si>
  <si>
    <t>n/a</t>
  </si>
  <si>
    <t>2019-2020</t>
  </si>
  <si>
    <t>References available on request.</t>
  </si>
  <si>
    <t>Employment_5</t>
  </si>
  <si>
    <t>Employment_Description_51</t>
  </si>
  <si>
    <t>Employment_Description_52</t>
  </si>
  <si>
    <t>Employment_Description_53</t>
  </si>
  <si>
    <t>Employment_Description_54</t>
  </si>
  <si>
    <t>Employment_Description_55</t>
  </si>
  <si>
    <t>Years</t>
  </si>
  <si>
    <t>% DOCUMENT CLASS</t>
  </si>
  <si>
    <t>% article class enables full customization of page</t>
  </si>
  <si>
    <t>% other packages for formatting</t>
  </si>
  <si>
    <t>% tabularx environment</t>
  </si>
  <si>
    <t>% for lists within experience section</t>
  </si>
  <si>
    <t>% to prevent spillover of tabular into next pages</t>
  </si>
  <si>
    <t>% BEGIN DOCUMENT</t>
  </si>
  <si>
    <t>% non-numbered pages</t>
  </si>
  <si>
    <t xml:space="preserve">\pagestyle{empty} </t>
  </si>
  <si>
    <t>% TITLE</t>
  </si>
  <si>
    <t>\end{tabularx}</t>
  </si>
  <si>
    <t>% OBJECTIVE</t>
  </si>
  <si>
    <t>\begin{tabularx}{\linewidth}{@{}l X@{}}</t>
  </si>
  <si>
    <t>% The MIT License (MIT)</t>
  </si>
  <si>
    <t>% Copyright (c) 2021 Jitin Nair</t>
  </si>
  <si>
    <t>%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t>
  </si>
  <si>
    <t>%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</si>
  <si>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Warehouse Associate</t>
  </si>
  <si>
    <t>Amazon</t>
  </si>
  <si>
    <t>Worldwide Flight Services</t>
  </si>
  <si>
    <t>Kate Quinn Organics</t>
  </si>
  <si>
    <t>UPS</t>
  </si>
  <si>
    <t>Gensco</t>
  </si>
  <si>
    <t>AmerisourceBergen</t>
  </si>
  <si>
    <t>Fetch Package</t>
  </si>
  <si>
    <t>HD Supply</t>
  </si>
  <si>
    <t>IKEA</t>
  </si>
  <si>
    <t>US FOODS</t>
  </si>
  <si>
    <t>Caterpillar</t>
  </si>
  <si>
    <t>NAPA Auto Parts</t>
  </si>
  <si>
    <t>Coeur d'Alene Window Company</t>
  </si>
  <si>
    <t>American Tire Distributors</t>
  </si>
  <si>
    <t>Safelite AutoGlass</t>
  </si>
  <si>
    <t>Raycap</t>
  </si>
  <si>
    <t>KNS International</t>
  </si>
  <si>
    <t>Stitch Fix</t>
  </si>
  <si>
    <t>Best Buy</t>
  </si>
  <si>
    <t>Duluth Trading Company</t>
  </si>
  <si>
    <t>Sephora</t>
  </si>
  <si>
    <t>Desert Industries</t>
  </si>
  <si>
    <t>Rocky Mountain ATV/MC</t>
  </si>
  <si>
    <t>Bucked Up</t>
  </si>
  <si>
    <t>Sparkle In Pink</t>
  </si>
  <si>
    <t>Namify</t>
  </si>
  <si>
    <t>Pharmatech</t>
  </si>
  <si>
    <t>Davidson Defense</t>
  </si>
  <si>
    <t>FedEx Ground</t>
  </si>
  <si>
    <t>Shamrock Foods Company</t>
  </si>
  <si>
    <t>Frito-Lay</t>
  </si>
  <si>
    <t>Ferguson Enterprises</t>
  </si>
  <si>
    <t>American Furniture Warehouse</t>
  </si>
  <si>
    <t>Ace Hardware</t>
  </si>
  <si>
    <t>WishingUWell</t>
  </si>
  <si>
    <t>Woodley's Fine Furniture</t>
  </si>
  <si>
    <t>Rampart Supply</t>
  </si>
  <si>
    <t>Allegion</t>
  </si>
  <si>
    <t>Capstone Logistics</t>
  </si>
  <si>
    <t>2018-2020</t>
  </si>
  <si>
    <t>2017-2018</t>
  </si>
  <si>
    <t>% set font to Times New Roman</t>
  </si>
  <si>
    <t>\usepackage{times}</t>
  </si>
  <si>
    <t>=IF(C3="Employment_1","07/2021 to present",IF(C3="Employment_2","04/2020 to 06/2021",IF(C3="Employment_3","08/2018 to 03/2020",IF(C3="Employment_4","06/2017 to 07/2018",IF(C3="Employment_5","08/2016 to 06/2017","")))))</t>
  </si>
  <si>
    <t>2017-2019</t>
  </si>
  <si>
    <t>Form 1</t>
  </si>
  <si>
    <t>Form 2</t>
  </si>
  <si>
    <t>Line Cook</t>
  </si>
  <si>
    <t>Motel 6</t>
  </si>
  <si>
    <t>Boeing</t>
  </si>
  <si>
    <t>Terumo Blood Cell Technologies</t>
  </si>
  <si>
    <t>Philips</t>
  </si>
  <si>
    <t>Domino's</t>
  </si>
  <si>
    <t>Amazon DSP</t>
  </si>
  <si>
    <t>Security Guard</t>
  </si>
  <si>
    <t>Campus Security Officer</t>
  </si>
  <si>
    <t>Allied Universal</t>
  </si>
  <si>
    <t>% IF RESUME GOES BEYOND ONE PAGE, CHANGE TO 11PT OR 10PT ABOVE!!!</t>
  </si>
  <si>
    <t>Dairy Queen</t>
  </si>
  <si>
    <t>New</t>
  </si>
  <si>
    <t>Old</t>
  </si>
  <si>
    <t>High School C</t>
  </si>
  <si>
    <t>Laborer</t>
  </si>
  <si>
    <t>PRICOR Technologies</t>
  </si>
  <si>
    <t>Clark Construction Group</t>
  </si>
  <si>
    <t>Wingstop</t>
  </si>
  <si>
    <t>Burger King</t>
  </si>
  <si>
    <t>Alderwood Landscaping</t>
  </si>
  <si>
    <t>DSG Excavating</t>
  </si>
  <si>
    <t>Pioneer Construction</t>
  </si>
  <si>
    <t>Alpine Landscaping</t>
  </si>
  <si>
    <t>Hughes General Contractors</t>
  </si>
  <si>
    <t>Dynamic Builders</t>
  </si>
  <si>
    <t>TruGreen Lawn Care</t>
  </si>
  <si>
    <t>Sprinkler Solutions</t>
  </si>
  <si>
    <t>Trax Construction</t>
  </si>
  <si>
    <t>Maciel Landscaping</t>
  </si>
  <si>
    <t>Pikes Peak State College</t>
  </si>
  <si>
    <t>College C</t>
  </si>
  <si>
    <t>Le Cordon Bleu</t>
  </si>
  <si>
    <t>Auguste Escoffier School of Culinary Arts</t>
  </si>
  <si>
    <t>Bath \&amp; Body Works</t>
  </si>
  <si>
    <t>Lowe's Home Improvement</t>
  </si>
  <si>
    <t>H\&amp;M</t>
  </si>
  <si>
    <t>Ross Dress for Less</t>
  </si>
  <si>
    <t>Kohl's</t>
  </si>
  <si>
    <t>Mor Furniture for Less</t>
  </si>
  <si>
    <t>Ashley Store</t>
  </si>
  <si>
    <t>QFC</t>
  </si>
  <si>
    <t>Rosauers</t>
  </si>
  <si>
    <t>Smith's</t>
  </si>
  <si>
    <t>King Soopers</t>
  </si>
  <si>
    <t>Gomez Lawn Care</t>
  </si>
  <si>
    <t>Provo Lawn Care</t>
  </si>
  <si>
    <t>Clean Air Lawn Care</t>
  </si>
  <si>
    <t>Red Lobster</t>
  </si>
  <si>
    <t>Spinasse</t>
  </si>
  <si>
    <t>Italia Trattoria</t>
  </si>
  <si>
    <t>La Jolla Groves</t>
  </si>
  <si>
    <t>Ristorante Del Lago</t>
  </si>
  <si>
    <t>Carlos Bistro</t>
  </si>
  <si>
    <t>Bittersweet</t>
  </si>
  <si>
    <t>Block Restaurant</t>
  </si>
  <si>
    <t>PAGO 9th \&amp; 9th</t>
  </si>
  <si>
    <t>Luna</t>
  </si>
  <si>
    <t>Bateau</t>
  </si>
  <si>
    <t>The White Swan Public House</t>
  </si>
  <si>
    <t>Saranac Public House</t>
  </si>
  <si>
    <t>The Dodo Restaurant</t>
  </si>
  <si>
    <t>Mozz Artisan Pizza</t>
  </si>
  <si>
    <t>Acova</t>
  </si>
  <si>
    <t>Odyssey Gastropub</t>
  </si>
  <si>
    <t>Tilikum Place Café</t>
  </si>
  <si>
    <t>Portage Bay Café</t>
  </si>
  <si>
    <t>The Yards Bruncheon</t>
  </si>
  <si>
    <t>Dolly's Café</t>
  </si>
  <si>
    <t>Eggs in the City</t>
  </si>
  <si>
    <t>Café Niche</t>
  </si>
  <si>
    <t>Guru's Café</t>
  </si>
  <si>
    <t>Waffle Love</t>
  </si>
  <si>
    <t>Jelly Café</t>
  </si>
  <si>
    <t>Four Friends Eatery</t>
  </si>
  <si>
    <t>New Day Café</t>
  </si>
  <si>
    <t>Urban Egg</t>
  </si>
  <si>
    <t>Bartender</t>
  </si>
  <si>
    <t>Moctezuma's Mexican Restaurant</t>
  </si>
  <si>
    <t>Twigs Bistro and Martini Bar</t>
  </si>
  <si>
    <t>Courtyard by Marriott</t>
  </si>
  <si>
    <t>The Grand American Hotel</t>
  </si>
  <si>
    <t>Bourbon House</t>
  </si>
  <si>
    <t>Slate Restaurant</t>
  </si>
  <si>
    <t>ABG's Bar</t>
  </si>
  <si>
    <t>Death \&amp; Co Denver</t>
  </si>
  <si>
    <t>Terminal Bar</t>
  </si>
  <si>
    <t>Murphy's Tavern</t>
  </si>
  <si>
    <t>The Piccadilly Bar</t>
  </si>
  <si>
    <t>Server Cert 1</t>
  </si>
  <si>
    <t>Server Cert 2</t>
  </si>
  <si>
    <t>Food Handling, MAST</t>
  </si>
  <si>
    <t>MAST Permit, Food Handler Certification</t>
  </si>
  <si>
    <t>On-Premises Alcohol Servers Permit, Food Handler Certification</t>
  </si>
  <si>
    <t>Food Handling, DABC Certified</t>
  </si>
  <si>
    <t>Food Handling, TIPS</t>
  </si>
  <si>
    <t>Training for Intervention Procedures (TIPS), Food Handler Certification</t>
  </si>
  <si>
    <t>Western Express</t>
  </si>
  <si>
    <t>McLane Company</t>
  </si>
  <si>
    <t>Swift Transportation</t>
  </si>
  <si>
    <t>High Q</t>
  </si>
  <si>
    <t>Summit Logistics</t>
  </si>
  <si>
    <t>Rock Hard Trucking</t>
  </si>
  <si>
    <t>TDR Logistics</t>
  </si>
  <si>
    <t>J.B. Hunt</t>
  </si>
  <si>
    <t>Advantage Transportation</t>
  </si>
  <si>
    <t>Inland Xpress</t>
  </si>
  <si>
    <t>Sysco</t>
  </si>
  <si>
    <t>Pro Drivers</t>
  </si>
  <si>
    <t>May Trucking Company</t>
  </si>
  <si>
    <t>System Transport</t>
  </si>
  <si>
    <t>Martin Marietta Materials</t>
  </si>
  <si>
    <t>Fackler Transportation</t>
  </si>
  <si>
    <t>Jimmy John's Sandwiches</t>
  </si>
  <si>
    <t>TSA</t>
  </si>
  <si>
    <t>Sand Point Country Club</t>
  </si>
  <si>
    <t>Manito Golf \&amp; Country Club</t>
  </si>
  <si>
    <t>The Country Club</t>
  </si>
  <si>
    <t>Riverside Country Club</t>
  </si>
  <si>
    <t>Cherry Creek Country Club</t>
  </si>
  <si>
    <t>Colorado Springs Country Club</t>
  </si>
  <si>
    <t>Carl's Jr.</t>
  </si>
  <si>
    <t>Bartscapes</t>
  </si>
  <si>
    <t>LANDCURVE</t>
  </si>
  <si>
    <t>Big Rock Premium Landscaping and Design</t>
  </si>
  <si>
    <t>Land Designs by Colton</t>
  </si>
  <si>
    <t>Fisk Lawnscapes</t>
  </si>
  <si>
    <t>PeopleReady</t>
  </si>
  <si>
    <t>Tradesmen International</t>
  </si>
  <si>
    <t>TMR Construction</t>
  </si>
  <si>
    <t>Straight Edge Excavation</t>
  </si>
  <si>
    <t>EDGEhomes</t>
  </si>
  <si>
    <t>JHL Constructors</t>
  </si>
  <si>
    <t>J \&amp; J Construction</t>
  </si>
  <si>
    <t>General Laborer</t>
  </si>
  <si>
    <t>Carpenter</t>
  </si>
  <si>
    <t>Abacus Fine Carpentry</t>
  </si>
  <si>
    <t>Count On It Construction</t>
  </si>
  <si>
    <t>Richins Carpentry</t>
  </si>
  <si>
    <t>True Quality Construction</t>
  </si>
  <si>
    <t>Trim Works Carpentry</t>
  </si>
  <si>
    <t>Pro-Finish</t>
  </si>
  <si>
    <t>College D</t>
  </si>
  <si>
    <t>College E</t>
  </si>
  <si>
    <t>Fortis College</t>
  </si>
  <si>
    <t>Concorde Career College</t>
  </si>
  <si>
    <t>Virginia's Mason Medical Center</t>
  </si>
  <si>
    <t>Kindred Hospital Seattle</t>
  </si>
  <si>
    <t>Providence Holy Family Hospital</t>
  </si>
  <si>
    <t>Mann-Grandstaff VA Medical Center</t>
  </si>
  <si>
    <t>LDS Hospital</t>
  </si>
  <si>
    <t>Holy Cross Hospital</t>
  </si>
  <si>
    <t>Utah State Hospital</t>
  </si>
  <si>
    <t>Utah Valley Specialty Hospital</t>
  </si>
  <si>
    <t>Denver Health</t>
  </si>
  <si>
    <t>Kindred Hospital Denver</t>
  </si>
  <si>
    <t>Centura-St. Francis Hospital</t>
  </si>
  <si>
    <t>Children's Hospital Colorado</t>
  </si>
  <si>
    <t>Centura Penrose Hospital</t>
  </si>
  <si>
    <t>St. Joseph Care Center</t>
  </si>
  <si>
    <t>St Mark's Hospital</t>
  </si>
  <si>
    <t>Provo Rehabilitataion \&amp; Nursing</t>
  </si>
  <si>
    <t>Denver Skilled Nursing and Rehabilitation Center</t>
  </si>
  <si>
    <t>Springs Village Care Center</t>
  </si>
  <si>
    <t>Quail Park Memory Care</t>
  </si>
  <si>
    <t>Truewood by Merrill</t>
  </si>
  <si>
    <t>Brookdale West</t>
  </si>
  <si>
    <t>Providence Hospice of Seattle</t>
  </si>
  <si>
    <t>Gentiva Hospice</t>
  </si>
  <si>
    <t>Maplewood Gardens</t>
  </si>
  <si>
    <t>South Hill Village</t>
  </si>
  <si>
    <t>Hospice of Spokane</t>
  </si>
  <si>
    <t>Horizon Hospice \&amp; Palliative Care</t>
  </si>
  <si>
    <t>Sarah Daft Home</t>
  </si>
  <si>
    <t>Twin Oaks Senior Living</t>
  </si>
  <si>
    <t>Legacy Village of Sugar House</t>
  </si>
  <si>
    <t>Hospice for Utah</t>
  </si>
  <si>
    <t>Bristol Hospice</t>
  </si>
  <si>
    <t>Yarrow Hospice \&amp; Palliative Care</t>
  </si>
  <si>
    <t>Symbii Hospice \&amp; Home Health</t>
  </si>
  <si>
    <t>Provo Assisted Living</t>
  </si>
  <si>
    <t>Courtyard at Jamestown Assisted Living</t>
  </si>
  <si>
    <t>Legacy Village of Provo</t>
  </si>
  <si>
    <t>The Denver Hospice</t>
  </si>
  <si>
    <t>Legend of Broomfield</t>
  </si>
  <si>
    <t>The Belleview Senior Living</t>
  </si>
  <si>
    <t>The Lodge at Palmer Point</t>
  </si>
  <si>
    <t>Retreat at Sunny Vista</t>
  </si>
  <si>
    <t>Abode Hospice</t>
  </si>
  <si>
    <t>Dental Assistant</t>
  </si>
  <si>
    <t>The Seattle Arthritis Clinic</t>
  </si>
  <si>
    <t>Arthritis Northwest</t>
  </si>
  <si>
    <t>Hofmann Arthritis Clinic</t>
  </si>
  <si>
    <t>Arthritis Center of Central Utah</t>
  </si>
  <si>
    <t>Denver Arthritis Clinic</t>
  </si>
  <si>
    <t>Arthritis Association of Colorado Springs</t>
  </si>
  <si>
    <t>Springs Family Dental</t>
  </si>
  <si>
    <t>Denver Place Dentistry</t>
  </si>
  <si>
    <t>Northview Family Dental</t>
  </si>
  <si>
    <t>Seattle's Family Dentistry</t>
  </si>
  <si>
    <t>Salt Lake Dental</t>
  </si>
  <si>
    <t>High School A</t>
  </si>
  <si>
    <t>High School B</t>
  </si>
  <si>
    <t>High School D</t>
  </si>
  <si>
    <t>High School E</t>
  </si>
  <si>
    <t>High School F</t>
  </si>
  <si>
    <t>Transportation Security Officer</t>
  </si>
  <si>
    <t>OTR Truck Driver</t>
  </si>
  <si>
    <t>Ingraham High School</t>
  </si>
  <si>
    <t>Nathan Hale High School</t>
  </si>
  <si>
    <t>The Center School</t>
  </si>
  <si>
    <t>Summit Public School: Sierra</t>
  </si>
  <si>
    <t>Foster High School</t>
  </si>
  <si>
    <t>Tyee High School</t>
  </si>
  <si>
    <t>Lewis \&amp; Clark High School</t>
  </si>
  <si>
    <t>Gonzaga Preparatory School</t>
  </si>
  <si>
    <t>West Valley High School</t>
  </si>
  <si>
    <t>Spokane Valley High School</t>
  </si>
  <si>
    <t>Dishman Hills High School</t>
  </si>
  <si>
    <t>Mica Peak High School</t>
  </si>
  <si>
    <t>Roots Charter High School</t>
  </si>
  <si>
    <t>Mana Academy Charter School</t>
  </si>
  <si>
    <t>Bingham High School</t>
  </si>
  <si>
    <t>Riverton High School</t>
  </si>
  <si>
    <t>Skyline High School</t>
  </si>
  <si>
    <t>Olympus High School</t>
  </si>
  <si>
    <t>Timpview High School</t>
  </si>
  <si>
    <t>Utah County Academy of Sciences</t>
  </si>
  <si>
    <t>Provo High School</t>
  </si>
  <si>
    <t>Freedom Preparatory Academy</t>
  </si>
  <si>
    <t>Polaris High School</t>
  </si>
  <si>
    <t>Summit High School</t>
  </si>
  <si>
    <t>Addenbrooke Classical Academy</t>
  </si>
  <si>
    <t>SOAR Academy</t>
  </si>
  <si>
    <t>Jefferson Academy High School</t>
  </si>
  <si>
    <t>Standley Lake High School</t>
  </si>
  <si>
    <t>East High School</t>
  </si>
  <si>
    <t>DSST: Byers High School</t>
  </si>
  <si>
    <t>Cheyenne Mountain High School</t>
  </si>
  <si>
    <t>The Vanguard School Senior High</t>
  </si>
  <si>
    <t>Civa Charter Academy</t>
  </si>
  <si>
    <t>Colorado Early Colleges Colorado Springs</t>
  </si>
  <si>
    <t>Pikes Peak Early College</t>
  </si>
  <si>
    <t>Mitchell High School</t>
  </si>
  <si>
    <t>Phone_Number</t>
  </si>
  <si>
    <t>1-206-249-7320</t>
  </si>
  <si>
    <t>1-206-809-1527</t>
  </si>
  <si>
    <t>1-509-530-1976</t>
  </si>
  <si>
    <t>1-509-288-4985</t>
  </si>
  <si>
    <t>1-801-895-2908</t>
  </si>
  <si>
    <t>1-801-477-5491</t>
  </si>
  <si>
    <t>1-720-316-7376</t>
  </si>
  <si>
    <t>1-720-738-0456</t>
  </si>
  <si>
    <t>1-719-445-1230</t>
  </si>
  <si>
    <t>1-719-284-1090</t>
  </si>
  <si>
    <t>Merry Maids</t>
  </si>
  <si>
    <t>Frontier Door and Cabinet</t>
  </si>
  <si>
    <t>AAA Distributor</t>
  </si>
  <si>
    <t>3form</t>
  </si>
  <si>
    <t>Advanced Millwork Components \&amp; Installations</t>
  </si>
  <si>
    <t>J\&amp;K Cabinetry</t>
  </si>
  <si>
    <t>Timberwolf Design \&amp; Woodworking</t>
  </si>
  <si>
    <t>Warehouse Specialists</t>
  </si>
  <si>
    <t>Veho</t>
  </si>
  <si>
    <t>Jimmy Mac's Roadhouse</t>
  </si>
  <si>
    <t>Texas Roadhouse</t>
  </si>
  <si>
    <t>Female Name 1</t>
  </si>
  <si>
    <t>Female Name 2</t>
  </si>
  <si>
    <t>Male Name 2</t>
  </si>
  <si>
    <t>Male Name 1</t>
  </si>
  <si>
    <t>Marisa Watson</t>
  </si>
  <si>
    <t>Gina Collins</t>
  </si>
  <si>
    <t>Jasmine Phillips</t>
  </si>
  <si>
    <t>Hannah Allen</t>
  </si>
  <si>
    <t>Lindsay Campbell</t>
  </si>
  <si>
    <t>Parker Reed</t>
  </si>
  <si>
    <t>Patrick Lewis</t>
  </si>
  <si>
    <t>Joel Morris</t>
  </si>
  <si>
    <t>Jeremy Anderson</t>
  </si>
  <si>
    <t>Adrian Nelson</t>
  </si>
  <si>
    <t>Marcus Thomas</t>
  </si>
  <si>
    <t>Leah James</t>
  </si>
  <si>
    <t>Express Employment</t>
  </si>
  <si>
    <t>2023 Best Public High Schools in the Colorado Springs Area - Niche</t>
  </si>
  <si>
    <t>Name_Input</t>
  </si>
  <si>
    <t>Indeed_Password</t>
  </si>
  <si>
    <t>lindsay.a.campbell@outlook.com</t>
  </si>
  <si>
    <t>seeking a job</t>
  </si>
  <si>
    <t>jasmine.m.phillips@outlook.com</t>
  </si>
  <si>
    <t>looking for a job</t>
  </si>
  <si>
    <t>marcus.h.thomas@outlook.com</t>
  </si>
  <si>
    <t>2023 job searcher</t>
  </si>
  <si>
    <t>patrick.d.lewis@outlook.com</t>
  </si>
  <si>
    <t>23_syp_ras</t>
  </si>
  <si>
    <t>allen.l.hannah@outlook.com</t>
  </si>
  <si>
    <t>applications 2023</t>
  </si>
  <si>
    <t>leah.m.james@outlook.com</t>
  </si>
  <si>
    <t>job seeker</t>
  </si>
  <si>
    <t>morris.d.joel@outlook.com</t>
  </si>
  <si>
    <t>23_ras_syp</t>
  </si>
  <si>
    <t>jeremy.a.anderson@outlook.com</t>
  </si>
  <si>
    <t>2023 applicant</t>
  </si>
  <si>
    <t>watson.e.marisa@outlook.com</t>
  </si>
  <si>
    <t>ras_syp_23</t>
  </si>
  <si>
    <t>collins.gina@outlook.com</t>
  </si>
  <si>
    <t>i will find a job</t>
  </si>
  <si>
    <t>reed.parker@outlook.com</t>
  </si>
  <si>
    <t>2023 job finder</t>
  </si>
  <si>
    <t>adrian.m.nelson@outlook.com</t>
  </si>
  <si>
    <t>job search</t>
  </si>
  <si>
    <t>\Large</t>
  </si>
  <si>
    <t>\\[0.5 cm]</t>
  </si>
  <si>
    <t>\textbf{Work Experience} \\</t>
  </si>
  <si>
    <t>\textbf{Education} \\</t>
  </si>
  <si>
    <t>\\[0.5cm]</t>
  </si>
  <si>
    <t>\textbf{Skills} \\</t>
  </si>
  <si>
    <t>\usepackage[scale=0.8]{geometry}</t>
  </si>
  <si>
    <t>\large</t>
  </si>
  <si>
    <t>Repeated above in case template files are wrong</t>
  </si>
  <si>
    <t>Hampton Inn</t>
  </si>
  <si>
    <t>Warwick Seattle</t>
  </si>
  <si>
    <t>Best Western</t>
  </si>
  <si>
    <t>Molly Maid</t>
  </si>
  <si>
    <t>Susan's Green Cleaning</t>
  </si>
  <si>
    <t>Super 8</t>
  </si>
  <si>
    <t>Quality Inn</t>
  </si>
  <si>
    <t>The Davenport Grand</t>
  </si>
  <si>
    <t>Two Maids</t>
  </si>
  <si>
    <t>The Cleaning Authority</t>
  </si>
  <si>
    <t>Queen of Maids Salt Lake</t>
  </si>
  <si>
    <t>The Little American Hotel</t>
  </si>
  <si>
    <t>Springhill Suites</t>
  </si>
  <si>
    <t>Sage Cleaner</t>
  </si>
  <si>
    <t>the Curtis Denver</t>
  </si>
  <si>
    <t>Alpine Maids</t>
  </si>
  <si>
    <t>Denver Cleaning Service Company</t>
  </si>
  <si>
    <t>The Antlers</t>
  </si>
  <si>
    <t>Maid to Shine</t>
  </si>
  <si>
    <t>CottageCare Colorado Springs</t>
  </si>
  <si>
    <t>Lake Ridge Senior Living</t>
  </si>
  <si>
    <t>Rosewood Assisted Care</t>
  </si>
  <si>
    <t>Montage Hills</t>
  </si>
  <si>
    <t>Point of the Pines Gardens</t>
  </si>
  <si>
    <t>Cheerywood Place Retirement</t>
  </si>
  <si>
    <t>Bayview Retirement Community</t>
  </si>
  <si>
    <t>Travis Industries</t>
  </si>
  <si>
    <t>Proto-Design Inc</t>
  </si>
  <si>
    <t>Honeywell Aerospace</t>
  </si>
  <si>
    <t>Fluke Electronics</t>
  </si>
  <si>
    <t>Watson Furniture</t>
  </si>
  <si>
    <t>BE Meyers</t>
  </si>
  <si>
    <t>Tate Technologies</t>
  </si>
  <si>
    <t>Berg Manufacturing</t>
  </si>
  <si>
    <t>Exotic Metals Forming</t>
  </si>
  <si>
    <t>Builders FirstSource</t>
  </si>
  <si>
    <t>PURCELL</t>
  </si>
  <si>
    <t>Alliance Machine Systems International</t>
  </si>
  <si>
    <t>Hot Start</t>
  </si>
  <si>
    <t>Ashley Furniture</t>
  </si>
  <si>
    <t>VPI Technology Group</t>
  </si>
  <si>
    <t>AAP Automation</t>
  </si>
  <si>
    <t>Moog, Inc</t>
  </si>
  <si>
    <t>Lifetime Products, Inc.</t>
  </si>
  <si>
    <t>Cytiva</t>
  </si>
  <si>
    <t>Atlas</t>
  </si>
  <si>
    <t>Sorenson Bioscience</t>
  </si>
  <si>
    <t>Blendtec</t>
  </si>
  <si>
    <t>NW Service Enterprises, Inc.</t>
  </si>
  <si>
    <t>ATL Technology</t>
  </si>
  <si>
    <t>Really Right Stuff</t>
  </si>
  <si>
    <t>BIOMERICS</t>
  </si>
  <si>
    <t>WD Electronics</t>
  </si>
  <si>
    <t>Furniture Row</t>
  </si>
  <si>
    <t>CF Industries</t>
  </si>
  <si>
    <t>Reliance Falls Protection</t>
  </si>
  <si>
    <t>LATCH</t>
  </si>
  <si>
    <t>TTM Technologies</t>
  </si>
  <si>
    <t>WalkMed LLC</t>
  </si>
  <si>
    <t>Kodo Kids</t>
  </si>
  <si>
    <t>IMI Precision Engineering</t>
  </si>
  <si>
    <t>Air Squared</t>
  </si>
  <si>
    <t>Linear Manufacturing</t>
  </si>
  <si>
    <t>Diversatek Healthcare</t>
  </si>
  <si>
    <t>Northern Metal Products</t>
  </si>
  <si>
    <t>Johnson \&amp; Johnson</t>
  </si>
  <si>
    <t>GPS Source, Inc.</t>
  </si>
  <si>
    <t>Prep Cook</t>
  </si>
  <si>
    <t>La Bocaza Mexican Grille</t>
  </si>
  <si>
    <t>Alfonso's Mexican Food</t>
  </si>
  <si>
    <t>Brasas Mexican Grill</t>
  </si>
  <si>
    <t>Rancherito's Mexican Food</t>
  </si>
  <si>
    <t>Gorditos</t>
  </si>
  <si>
    <t>Atilano's Mexican Food</t>
  </si>
  <si>
    <t>Penrose-St. Francis Hospital</t>
  </si>
  <si>
    <t>Craig Hospital</t>
  </si>
  <si>
    <t>Apple Tree Assisted Living</t>
  </si>
  <si>
    <t>Highland Ridge Hospital</t>
  </si>
  <si>
    <t>Mountain View Hospital</t>
  </si>
  <si>
    <t>Brighten Court Assisted Living</t>
  </si>
  <si>
    <t>Eastern State Hospital</t>
  </si>
  <si>
    <t>Sunrise Senior Living</t>
  </si>
  <si>
    <t>The Cheesecake Factory</t>
  </si>
  <si>
    <t>The Old Spaghetti Factory</t>
  </si>
  <si>
    <t>Carrabba's Italian Grill</t>
  </si>
  <si>
    <t>AMC</t>
  </si>
  <si>
    <t>Geiger Corrections Center</t>
  </si>
  <si>
    <t>King County Juvenile Detention</t>
  </si>
  <si>
    <t>Salt Lake Valley Detention Center</t>
  </si>
  <si>
    <t>Youth Corrections</t>
  </si>
  <si>
    <t>Gilliam Youth Services Center</t>
  </si>
  <si>
    <t>Zebulon Pike Youth Services Center</t>
  </si>
  <si>
    <t>Hillside Gardens \&amp; Event Center</t>
  </si>
  <si>
    <t>Clock Tower Events</t>
  </si>
  <si>
    <t>Edison Street Events</t>
  </si>
  <si>
    <t>Enigma Event Center</t>
  </si>
  <si>
    <t>Spokane Valley Event Center</t>
  </si>
  <si>
    <t>The MV Swansonia</t>
  </si>
  <si>
    <t>Highline School District</t>
  </si>
  <si>
    <t>Bellevue School District</t>
  </si>
  <si>
    <t>Shoreline School District</t>
  </si>
  <si>
    <t>Mead School District</t>
  </si>
  <si>
    <t>Spokane School District</t>
  </si>
  <si>
    <t>West Valley School District</t>
  </si>
  <si>
    <t>Davis School District</t>
  </si>
  <si>
    <t>Salt Lake Cschool District</t>
  </si>
  <si>
    <t>Granite School District</t>
  </si>
  <si>
    <t>Provo City School District</t>
  </si>
  <si>
    <t>Alpine School District</t>
  </si>
  <si>
    <t>Nebo School District</t>
  </si>
  <si>
    <t>Cherry Creek School District</t>
  </si>
  <si>
    <t>Jefferson County School District</t>
  </si>
  <si>
    <t>Littleton Public Schools</t>
  </si>
  <si>
    <t>Cheyenne Mountain School District 12</t>
  </si>
  <si>
    <t>Fountain-Fort Carson School District 8</t>
  </si>
  <si>
    <t>Academy School District 20</t>
  </si>
  <si>
    <t>Alpen Way Chalet Mountain Lodge</t>
  </si>
  <si>
    <t>Cheyenne Mountain Resort</t>
  </si>
  <si>
    <t>Enviro-Master of Denver North</t>
  </si>
  <si>
    <t>JAN-PRO Cleaning \&amp; Disinfecting</t>
  </si>
  <si>
    <t>Sweet and Clean Cleaning Services</t>
  </si>
  <si>
    <t>JAN-PRO</t>
  </si>
  <si>
    <t>Springs Cleaning Company</t>
  </si>
  <si>
    <t>Next to Godliness Cleaning Services</t>
  </si>
  <si>
    <t>Smart Clean Utah</t>
  </si>
  <si>
    <t>CleanTex Commercial Cleaning</t>
  </si>
  <si>
    <t>R\&amp;C Twice as Clean</t>
  </si>
  <si>
    <t>Sundance Resort</t>
  </si>
  <si>
    <t>Enviro-Master Services of Utah</t>
  </si>
  <si>
    <t>Anago of Utah</t>
  </si>
  <si>
    <t>Speedmaster Pro Cleaning, LLC</t>
  </si>
  <si>
    <t>Solitude Mountain Resort</t>
  </si>
  <si>
    <t>Pioneer Commercial Cleaning</t>
  </si>
  <si>
    <t>Quality Cleaning</t>
  </si>
  <si>
    <t>Mirabeau Park Hotel \&amp; Convention Center</t>
  </si>
  <si>
    <t>Cedarbrook Lodge</t>
  </si>
  <si>
    <t>Supreme Cleaning LLC</t>
  </si>
  <si>
    <t>Nu Jan Building Services</t>
  </si>
  <si>
    <t>Stratus Building Solutions</t>
  </si>
  <si>
    <t>Courtesy Clerk</t>
  </si>
  <si>
    <t>West Seattle Thriftway</t>
  </si>
  <si>
    <t>Yoke's</t>
  </si>
  <si>
    <t>Fred Meyer</t>
  </si>
  <si>
    <t>Soelbergs Market</t>
  </si>
  <si>
    <t>Fresh Market</t>
  </si>
  <si>
    <t>Kroger</t>
  </si>
  <si>
    <t>Sprouts</t>
  </si>
  <si>
    <t>7-Eleven</t>
  </si>
  <si>
    <t>College F</t>
  </si>
  <si>
    <t>Clover Park Technical College</t>
  </si>
  <si>
    <t>Art Institute of Colorado</t>
  </si>
  <si>
    <t>Crumbl Cookies</t>
  </si>
  <si>
    <t>Cupcake Royale</t>
  </si>
  <si>
    <t>Bagel Oasis</t>
  </si>
  <si>
    <t>85c Bakery Café</t>
  </si>
  <si>
    <t>Rocket Bakery</t>
  </si>
  <si>
    <t>Ultimate Bagel Inc</t>
  </si>
  <si>
    <t>Twisted Sugar</t>
  </si>
  <si>
    <t>Made With Love Bakery</t>
  </si>
  <si>
    <t>Sweet Frostings Blissful Bakeshop</t>
  </si>
  <si>
    <t>Lilac City Bakery</t>
  </si>
  <si>
    <t>Cakes of Paradise Bakery</t>
  </si>
  <si>
    <t>Three Girls Bakery</t>
  </si>
  <si>
    <t>Harmons Grocery</t>
  </si>
  <si>
    <t>Carlucci's Bakery</t>
  </si>
  <si>
    <t>City Cakes \&amp; Café</t>
  </si>
  <si>
    <t>Sweet Tooth Fairy</t>
  </si>
  <si>
    <t>Einstein Bros. Bagels</t>
  </si>
  <si>
    <t>Granite Bakery</t>
  </si>
  <si>
    <t>Provo Bakery</t>
  </si>
  <si>
    <t>Delipan Bakery</t>
  </si>
  <si>
    <t>Ambrosial Bakery</t>
  </si>
  <si>
    <t>Shirley's Bakery \&amp; Café</t>
  </si>
  <si>
    <t>Kneaders Bakery \&amp; Café</t>
  </si>
  <si>
    <t>The Denver Biscuit Company</t>
  </si>
  <si>
    <t>Yours Truly Cupcake</t>
  </si>
  <si>
    <t>The Makery Cakery Company</t>
  </si>
  <si>
    <t>The Cupcake Doctor</t>
  </si>
  <si>
    <t>Sugarplum Cake Shoppe</t>
  </si>
  <si>
    <t>Boonzaaijer's Dutch Bakery</t>
  </si>
  <si>
    <t>Marigold Café \&amp; Bakery</t>
  </si>
  <si>
    <t>Lee's Marketplace</t>
  </si>
  <si>
    <t>Atticus Coffee \&amp; Gifts</t>
  </si>
  <si>
    <t>Storyville Coffee Pike Place</t>
  </si>
  <si>
    <t>Nostalgia Café</t>
  </si>
  <si>
    <t>Peace on Earth</t>
  </si>
  <si>
    <t>Crema Coffee House</t>
  </si>
  <si>
    <t>Kairos Coffee House</t>
  </si>
  <si>
    <t>Allegion - Schlage Lock</t>
  </si>
  <si>
    <t>Tire Technician</t>
  </si>
  <si>
    <t>Les Schwab</t>
  </si>
  <si>
    <t>Compton Builders</t>
  </si>
  <si>
    <t>Giant Builders Seattle</t>
  </si>
  <si>
    <t>Sellen Construction</t>
  </si>
  <si>
    <t>Riggins Construction</t>
  </si>
  <si>
    <t>Castle Construction</t>
  </si>
  <si>
    <t>Levite Construction</t>
  </si>
  <si>
    <t>Wise Choice Construction</t>
  </si>
  <si>
    <t>Capstone Construction</t>
  </si>
  <si>
    <t>Garco Construction</t>
  </si>
  <si>
    <t>Strohmaier Construction</t>
  </si>
  <si>
    <t>Welsh Construction</t>
  </si>
  <si>
    <t>Arrow Concrete \&amp; Asphalt Specialties</t>
  </si>
  <si>
    <t>All Things Remodel Inc</t>
  </si>
  <si>
    <t>Count On It Construction LLC</t>
  </si>
  <si>
    <t>Big-D Construction Corporation</t>
  </si>
  <si>
    <t>Stevens General Contractors</t>
  </si>
  <si>
    <t>Yin \&amp; Yang Construction</t>
  </si>
  <si>
    <t>Staker Parson Materials \&amp; Construction</t>
  </si>
  <si>
    <t>Jacobsen Construction Co</t>
  </si>
  <si>
    <t>Renovation Brothers LLC</t>
  </si>
  <si>
    <t>RWK Construction \&amp; Basement Finishing</t>
  </si>
  <si>
    <t>Butterfield Construction</t>
  </si>
  <si>
    <t>VanCon, Inc.</t>
  </si>
  <si>
    <t>Rocky Mountain Remodeling \&amp; Design</t>
  </si>
  <si>
    <t>Bonneville Asphalt \&amp; Repair</t>
  </si>
  <si>
    <t>Karpov Construction Inc.</t>
  </si>
  <si>
    <t>Faros Construction Services</t>
  </si>
  <si>
    <t>Palace Construction Co</t>
  </si>
  <si>
    <t>Dohn Construction</t>
  </si>
  <si>
    <t>Kalin Construction Corp</t>
  </si>
  <si>
    <t>DACS Asphalt and Concrete</t>
  </si>
  <si>
    <t>Next Home Improvements</t>
  </si>
  <si>
    <t>C \&amp; R Contracting and Remodel</t>
  </si>
  <si>
    <t>C\&amp;H Asphalt Maintenance</t>
  </si>
  <si>
    <t>ENT Center of Utah</t>
  </si>
  <si>
    <t>Holladay Healthcare Center</t>
  </si>
  <si>
    <t>Transitional Care Center of Seattle</t>
  </si>
  <si>
    <t>On Point Group Construction Network</t>
  </si>
  <si>
    <t>Seth Horn Construction</t>
  </si>
  <si>
    <t>Pioneer Construction, LLC</t>
  </si>
  <si>
    <t>Excel Construction Group</t>
  </si>
  <si>
    <t>Alpine Contracting</t>
  </si>
  <si>
    <t>Description</t>
  </si>
  <si>
    <t>Bring carts from outdoor cart corrals to indoor areas</t>
  </si>
  <si>
    <t>Maintain cleanliness including entryways, parking lot garback pick up, hourly bathroom checks</t>
  </si>
  <si>
    <t>Help customers carry groceries out to their vehicles</t>
  </si>
  <si>
    <t>Description #</t>
  </si>
  <si>
    <t>Caregiver for elders including those with dementia; so I assist the residents with their daily needs</t>
  </si>
  <si>
    <t>Remind them what day it is and the time so they can get to their meals on time and know what they’re having</t>
  </si>
  <si>
    <t>Help them with getting up and ready for the day; as well as keeping up with their hygiene</t>
  </si>
  <si>
    <t>Comfort them and do little activities with them</t>
  </si>
  <si>
    <t>Emp (LU)</t>
  </si>
  <si>
    <t>Emp (Descriptions)</t>
  </si>
  <si>
    <t>Stanza Italian Bistro \&amp; Wine Bar</t>
  </si>
  <si>
    <t>Monarch Dental \&amp; Orthodontics</t>
  </si>
  <si>
    <t>Lake Washington Physical Therapy</t>
  </si>
  <si>
    <t>Inspire Physical \&amp; Hand Therapy</t>
  </si>
  <si>
    <t>Mountain Land Physical Therapy</t>
  </si>
  <si>
    <t>Bushnell Physical Therapy</t>
  </si>
  <si>
    <t>Integral Physical Therapy</t>
  </si>
  <si>
    <t>Select Physical Therapy</t>
  </si>
  <si>
    <t>Wellspring Family Services</t>
  </si>
  <si>
    <t>Children \&amp; Family Services</t>
  </si>
  <si>
    <t>LDS Family Services</t>
  </si>
  <si>
    <t>Denver Human Services</t>
  </si>
  <si>
    <t>Family Resource Network</t>
  </si>
  <si>
    <t>Navigate Community Management, AAMC</t>
  </si>
  <si>
    <t>HomeRiver Group Spokane Property Management</t>
  </si>
  <si>
    <t>Peaceful Property Management</t>
  </si>
  <si>
    <t>FCS Community Management</t>
  </si>
  <si>
    <t>ACCU Inc.</t>
  </si>
  <si>
    <t>Diversified Association Management</t>
  </si>
  <si>
    <t>Providence St. Luke's Rehabilitation Institute</t>
  </si>
  <si>
    <t>First Step House</t>
  </si>
  <si>
    <t>Alpine Recovery Lodge</t>
  </si>
  <si>
    <t>The Raleigh House</t>
  </si>
  <si>
    <t>Peaks Recovery Centers</t>
  </si>
  <si>
    <t>Utah County Health Department</t>
  </si>
  <si>
    <t>Health First Colorado</t>
  </si>
  <si>
    <t>El Paso Public Health</t>
  </si>
  <si>
    <t>Groundskeeper</t>
  </si>
  <si>
    <t>Greystar</t>
  </si>
  <si>
    <t>InterSolutions, LLC</t>
  </si>
  <si>
    <t>Thompson Thrift</t>
  </si>
  <si>
    <t>Thrive Communities</t>
  </si>
  <si>
    <t>Fairmount Memorial Association</t>
  </si>
  <si>
    <t>Park Meadows Country Club</t>
  </si>
  <si>
    <t>Sundance Mountain Resort</t>
  </si>
  <si>
    <t>Cornerstone</t>
  </si>
  <si>
    <t>The American Legion</t>
  </si>
  <si>
    <t>Green Guys Seattle LLC</t>
  </si>
  <si>
    <t>Spokane's Finest Lawns</t>
  </si>
  <si>
    <t>Lawngevity LLC</t>
  </si>
  <si>
    <t>Turf Plus</t>
  </si>
  <si>
    <t>The Family Lawn</t>
  </si>
  <si>
    <t>Integrated Lawn Care</t>
  </si>
  <si>
    <t>Devonshire Landscapes Inc</t>
  </si>
  <si>
    <t>Coppercreek Landscaping</t>
  </si>
  <si>
    <t>Landform Design Group</t>
  </si>
  <si>
    <t>Berg Landscape Arhitects, Inc.</t>
  </si>
  <si>
    <t>Lifescape Colorado</t>
  </si>
  <si>
    <t>Evergreen Ecoscape and Design LLC</t>
  </si>
  <si>
    <t>Bridge Property Management</t>
  </si>
  <si>
    <t>Prodigy Property Management</t>
  </si>
  <si>
    <t>Wasatch Property Management</t>
  </si>
  <si>
    <t>RHP Properties</t>
  </si>
  <si>
    <t>Summit Communities</t>
  </si>
  <si>
    <t>Berkshire Apartments</t>
  </si>
  <si>
    <t>Magnolia Garden Center</t>
  </si>
  <si>
    <t>Spokane Boys Inc</t>
  </si>
  <si>
    <t>Arbor Day Nursery</t>
  </si>
  <si>
    <t>Sun River Gardens</t>
  </si>
  <si>
    <t>Plant Garage</t>
  </si>
  <si>
    <t>Summerland Gardens</t>
  </si>
  <si>
    <t>Green Spaces Landscaping</t>
  </si>
  <si>
    <t>Wall and Company Landscaping</t>
  </si>
  <si>
    <t>Land Design by Armstrong</t>
  </si>
  <si>
    <t>Cottonwood Landscapes LLC</t>
  </si>
  <si>
    <t>Designscapes Colorado Inc</t>
  </si>
  <si>
    <t>Accent Landscapes</t>
  </si>
  <si>
    <t>Teller</t>
  </si>
  <si>
    <t>Wells Fargo</t>
  </si>
  <si>
    <t>Massage Envy</t>
  </si>
  <si>
    <t>The Springs Modern Dentistry</t>
  </si>
  <si>
    <t>\documentclass[a4paper,12pt]{article}</t>
  </si>
  <si>
    <t>2018-2019</t>
  </si>
  <si>
    <t>Coperta</t>
  </si>
  <si>
    <t>Edwards Lifesciences</t>
  </si>
  <si>
    <t>RC Willey</t>
  </si>
  <si>
    <t>JCPenney</t>
  </si>
  <si>
    <t>Fairview Assisted Living</t>
  </si>
  <si>
    <t>HighPointe Assisted Living</t>
  </si>
  <si>
    <t>MorningStar Assisted Living</t>
  </si>
  <si>
    <t>Rehabilitation Institute of Washington</t>
  </si>
  <si>
    <t>Washington State Social \&amp; Health Services</t>
  </si>
  <si>
    <t>Department of Social \&amp; Health Services</t>
  </si>
  <si>
    <t>Utah Department of Health \&amp; Human Services</t>
  </si>
  <si>
    <t>Phone Number 2</t>
  </si>
  <si>
    <t>2013-2017</t>
  </si>
  <si>
    <t>No work experience during high school</t>
  </si>
  <si>
    <t>Strong work ethic</t>
  </si>
  <si>
    <t>Bachelor's Degree</t>
  </si>
  <si>
    <t>no pronouns</t>
  </si>
  <si>
    <t>2018-2022</t>
  </si>
  <si>
    <t>Psychology</t>
  </si>
  <si>
    <t>Answered call lights and supported patient comfort and safety by adjusting bed rails and equipment</t>
  </si>
  <si>
    <t>Promoted good oral and personal hygiene by aiding patients with shaving, bathing, and teeth brushing</t>
  </si>
  <si>
    <t>Checked patient vitals such as temperature, blood pressure and blood sugar levels</t>
  </si>
  <si>
    <t>Cared for residents in assisted living facility and delivered high-quality support to meet needs</t>
  </si>
  <si>
    <t>Practiced proper perineal care to provide comfort and skin integrity</t>
  </si>
  <si>
    <t xml:space="preserve">Deliver and follow directions to customers house </t>
  </si>
  <si>
    <t xml:space="preserve">Provide customer service at counter </t>
  </si>
  <si>
    <t>Clean up for closing</t>
  </si>
  <si>
    <t xml:space="preserve">Serve as direct assistant to Office Manager, supporting all aspects of clerical and administrative needs </t>
  </si>
  <si>
    <t>Alleviate executive overload by handling all patient interactions including walk-ins, email, phone, and fax coordination</t>
  </si>
  <si>
    <t xml:space="preserve">Screen phone calls, taking messages, assisting callers, and rerouting as needed </t>
  </si>
  <si>
    <t>Act as the first step in Billing by collecting accurate demographic and insurance information from patients</t>
  </si>
  <si>
    <t>Responsible for greeting and seating customers, including managing wait lists</t>
  </si>
  <si>
    <t>Coordinate with serving staff to ensure a smooth and satisfactory service</t>
  </si>
  <si>
    <t>Answered phones, recorded reservations, and resolved customer issues</t>
  </si>
  <si>
    <t>CNA, CPR</t>
  </si>
  <si>
    <t>Organized and efficient</t>
  </si>
  <si>
    <t>Medical terminology knowledge</t>
  </si>
  <si>
    <t>Fast learner</t>
  </si>
  <si>
    <t>Clear communicator</t>
  </si>
  <si>
    <t>Prioritize patient care and comfort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</si>
</sst>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5"/>
      <color theme="1"/>
      <name val="Courier New"/>
      <family val="3"/>
    </font>
    <font>
      <i/>
      <sz val="8"/>
      <color theme="1"/>
      <name val="Calibri"/>
      <family val="2"/>
      <scheme val="minor"/>
    </font>
    <font>
      <b/>
      <i/>
      <sz val="8"/>
      <color theme="1"/>
      <name val="Calibri"/>
      <family val="2"/>
      <scheme val="minor"/>
    </font>
    <font>
      <b/>
      <i/>
      <sz val="11"/>
      <color theme="1"/>
      <name val="Calibri"/>
      <family val="2"/>
      <scheme val="minor"/>
    </font>
    <font>
      <b/>
      <sz val="11"/>
      <color theme="1"/>
      <name val="Calibri"/>
      <family val="2"/>
      <scheme val="minor"/>
    </font>
    <font>
      <sz val="11"/>
      <name val="Calibri"/>
      <family val="2"/>
      <scheme val="minor"/>
    </font>
    <font>
      <b/>
      <sz val="14"/>
      <color theme="0"/>
      <name val="Calibri"/>
      <family val="2"/>
      <scheme val="minor"/>
    </font>
    <font>
      <sz val="14"/>
      <color theme="1"/>
      <name val="Calibri"/>
      <family val="2"/>
      <scheme val="minor"/>
    </font>
    <font>
      <b/>
      <i/>
      <sz val="14"/>
      <color theme="0"/>
      <name val="Calibri"/>
      <family val="2"/>
      <scheme val="minor"/>
    </font>
    <font>
      <sz val="11"/>
      <color rgb="FFFF0000"/>
      <name val="Calibri"/>
      <family val="2"/>
      <scheme val="minor"/>
    </font>
    <font>
      <b/>
      <i/>
      <sz val="14"/>
      <color theme="1"/>
      <name val="Calibri"/>
      <family val="2"/>
      <scheme val="minor"/>
    </font>
    <font>
      <b/>
      <sz val="11"/>
      <name val="Calibri"/>
      <family val="2"/>
      <scheme val="minor"/>
    </font>
    <font>
      <i/>
      <sz val="11"/>
      <color rgb="FFFF0000"/>
      <name val="Calibri"/>
      <family val="2"/>
      <scheme val="minor"/>
    </font>
    <font>
      <u/>
      <sz val="11"/>
      <color theme="10"/>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bgColor indexed="64"/>
      </patternFill>
    </fill>
    <fill>
      <patternFill patternType="solid">
        <fgColor theme="7" tint="0.79998168889431442"/>
        <bgColor indexed="64"/>
      </patternFill>
    </fill>
    <fill>
      <patternFill patternType="solid">
        <fgColor theme="4"/>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4" fillId="0" borderId="0" applyNumberFormat="0" applyFill="0" applyBorder="0" applyAlignment="0" applyProtection="0"/>
  </cellStyleXfs>
  <cellXfs count="32">
    <xf numFmtId="0" fontId="0" fillId="0" borderId="0" xfId="0"/>
    <xf numFmtId="0" fontId="1" fillId="0" borderId="0" xfId="0" applyFont="1" applyAlignment="1">
      <alignment vertical="center"/>
    </xf>
    <xf numFmtId="0" fontId="2" fillId="2" borderId="0" xfId="0" applyFont="1" applyFill="1"/>
    <xf numFmtId="0" fontId="3" fillId="2" borderId="0" xfId="0" applyFont="1" applyFill="1"/>
    <xf numFmtId="0" fontId="4" fillId="0" borderId="0" xfId="0" applyFont="1"/>
    <xf numFmtId="0" fontId="0" fillId="3" borderId="0" xfId="0" applyFill="1"/>
    <xf numFmtId="0" fontId="2" fillId="4" borderId="0" xfId="0" applyFont="1" applyFill="1"/>
    <xf numFmtId="0" fontId="5" fillId="0" borderId="0" xfId="0" applyFont="1"/>
    <xf numFmtId="0" fontId="5" fillId="3" borderId="0" xfId="0" applyFont="1" applyFill="1"/>
    <xf numFmtId="0" fontId="2" fillId="6" borderId="0" xfId="0" applyFont="1" applyFill="1"/>
    <xf numFmtId="0" fontId="6" fillId="0" borderId="0" xfId="0" applyFont="1"/>
    <xf numFmtId="0" fontId="12" fillId="0" borderId="0" xfId="0" applyFont="1"/>
    <xf numFmtId="0" fontId="8" fillId="3" borderId="4" xfId="0" applyFont="1" applyFill="1" applyBorder="1" applyAlignment="1">
      <alignment horizontal="left"/>
    </xf>
    <xf numFmtId="0" fontId="0" fillId="0" borderId="0" xfId="0" applyAlignment="1">
      <alignment horizontal="left"/>
    </xf>
    <xf numFmtId="0" fontId="0" fillId="2" borderId="0" xfId="0" applyFill="1"/>
    <xf numFmtId="0" fontId="10" fillId="2" borderId="0" xfId="0" applyFont="1" applyFill="1"/>
    <xf numFmtId="0" fontId="0" fillId="4" borderId="0" xfId="0" applyFill="1"/>
    <xf numFmtId="0" fontId="2" fillId="2" borderId="0" xfId="0" quotePrefix="1" applyFont="1" applyFill="1"/>
    <xf numFmtId="0" fontId="14" fillId="0" borderId="0" xfId="1"/>
    <xf numFmtId="0" fontId="0" fillId="3" borderId="4" xfId="0" applyFill="1" applyBorder="1"/>
    <xf numFmtId="0" fontId="13" fillId="3" borderId="0" xfId="0" applyFont="1" applyFill="1"/>
    <xf numFmtId="0" fontId="13" fillId="0" borderId="0" xfId="0" applyFont="1"/>
    <xf numFmtId="0" fontId="0" fillId="0" borderId="0" xfId="0" applyAlignment="1">
      <alignment vertical="center"/>
    </xf>
    <xf numFmtId="0" fontId="11" fillId="5" borderId="1" xfId="0" applyFont="1" applyFill="1" applyBorder="1" applyAlignment="1">
      <alignment horizontal="left"/>
    </xf>
    <xf numFmtId="0" fontId="11" fillId="5" borderId="2" xfId="0" applyFont="1" applyFill="1" applyBorder="1" applyAlignment="1">
      <alignment horizontal="left"/>
    </xf>
    <xf numFmtId="0" fontId="11" fillId="5" borderId="3" xfId="0" applyFont="1" applyFill="1" applyBorder="1" applyAlignment="1">
      <alignment horizontal="left"/>
    </xf>
    <xf numFmtId="0" fontId="7" fillId="7" borderId="1" xfId="0" applyFont="1" applyFill="1" applyBorder="1" applyAlignment="1">
      <alignment horizontal="left"/>
    </xf>
    <xf numFmtId="0" fontId="7" fillId="7" borderId="2" xfId="0" applyFont="1" applyFill="1" applyBorder="1" applyAlignment="1">
      <alignment horizontal="left"/>
    </xf>
    <xf numFmtId="0" fontId="7" fillId="7" borderId="3" xfId="0" applyFont="1" applyFill="1" applyBorder="1" applyAlignment="1">
      <alignment horizontal="left"/>
    </xf>
    <xf numFmtId="0" fontId="9" fillId="7" borderId="1" xfId="0" applyFont="1" applyFill="1" applyBorder="1" applyAlignment="1">
      <alignment horizontal="left"/>
    </xf>
    <xf numFmtId="0" fontId="9" fillId="7" borderId="2" xfId="0" applyFont="1" applyFill="1" applyBorder="1" applyAlignment="1">
      <alignment horizontal="left"/>
    </xf>
    <xf numFmtId="0" fontId="9" fillId="7" borderId="3" xfId="0"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www.niche.com/k12/search/best-public-high-schools/m/colorado-springs-area/?academicsGrade=d&amp;academicsGrade=c"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reed.parker@outl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6FF9E-9CCC-4D61-BFD6-5B18CE890591}">
  <sheetPr>
    <tabColor rgb="FFFFFF00"/>
  </sheetPr>
  <dimension ref="A1:Z79"/>
  <sheetViews>
    <sheetView tabSelected="1" topLeftCell="K1" zoomScale="60" zoomScaleNormal="60" workbookViewId="0">
      <pane xSplit="1" ySplit="3" topLeftCell="L31" activePane="bottomRight" state="frozen"/>
      <selection activeCell="Q64" sqref="Q64"/>
      <selection pane="topRight" activeCell="Q64" sqref="Q64"/>
      <selection pane="bottomLeft" activeCell="Q64" sqref="Q64"/>
      <selection pane="bottomRight" activeCell="L3" sqref="L3"/>
    </sheetView>
  </sheetViews>
  <sheetFormatPr defaultRowHeight="14.25" outlineLevelCol="1" x14ac:dyDescent="0.45"/>
  <cols>
    <col min="1" max="1" width="29" style="2" hidden="1" customWidth="1" outlineLevel="1"/>
    <col min="2" max="2" width="6.53125" style="2" hidden="1" customWidth="1" outlineLevel="1"/>
    <col min="3" max="3" width="13.265625" style="2" hidden="1" customWidth="1" outlineLevel="1"/>
    <col min="4" max="4" width="19.33203125" style="2" hidden="1" customWidth="1" outlineLevel="1"/>
    <col min="5" max="5" width="7.46484375" style="2" hidden="1" customWidth="1" outlineLevel="1"/>
    <col min="6" max="6" width="10" style="2" hidden="1" customWidth="1" outlineLevel="1"/>
    <col min="7" max="7" width="10.46484375" style="2" hidden="1" customWidth="1" outlineLevel="1"/>
    <col min="8" max="8" width="5.46484375" style="2" hidden="1" customWidth="1" outlineLevel="1"/>
    <col min="9" max="10" width="7.796875" style="2" hidden="1" customWidth="1" outlineLevel="1"/>
    <col min="11" max="11" width="3.53125" customWidth="1" collapsed="1"/>
    <col min="12" max="14" width="12.59765625" customWidth="1"/>
    <col min="15" max="15" width="30.59765625" customWidth="1"/>
    <col min="17" max="18" width="9.53125" bestFit="1" customWidth="1"/>
    <col min="20" max="21" width="9.46484375" bestFit="1" customWidth="1"/>
  </cols>
  <sheetData>
    <row r="1" spans="1:26" ht="18.399999999999999" thickBot="1" x14ac:dyDescent="0.6">
      <c r="E1" s="17" t="s">
        <v>344</v>
      </c>
      <c r="L1" s="26" t="s">
        <v>188</v>
      </c>
      <c r="M1" s="27"/>
      <c r="N1" s="28"/>
      <c r="O1" s="12" t="s">
        <v>90</v>
      </c>
      <c r="T1" t="s">
        <v>346</v>
      </c>
      <c r="U1" t="s">
        <v>347</v>
      </c>
      <c r="W1" t="s">
        <v>360</v>
      </c>
      <c r="X1" t="s">
        <v>361</v>
      </c>
    </row>
    <row r="2" spans="1:26" ht="18.399999999999999" thickBot="1" x14ac:dyDescent="0.6">
      <c r="A2" s="3" t="s">
        <v>12</v>
      </c>
      <c r="B2" s="3" t="s">
        <v>9</v>
      </c>
      <c r="C2" s="3" t="s">
        <v>909</v>
      </c>
      <c r="D2" s="3" t="s">
        <v>910</v>
      </c>
      <c r="E2" s="3" t="s">
        <v>282</v>
      </c>
      <c r="F2" s="3" t="s">
        <v>7</v>
      </c>
      <c r="G2" s="3" t="s">
        <v>0</v>
      </c>
      <c r="H2" s="3" t="s">
        <v>8</v>
      </c>
      <c r="I2" s="3" t="s">
        <v>13</v>
      </c>
      <c r="J2" s="3"/>
      <c r="K2" s="4"/>
      <c r="L2" s="29" t="s">
        <v>189</v>
      </c>
      <c r="M2" s="30"/>
      <c r="N2" s="30"/>
      <c r="O2" s="31"/>
      <c r="P2">
        <f>Q2/12</f>
        <v>1.8333333333333333</v>
      </c>
      <c r="Q2">
        <v>22</v>
      </c>
      <c r="R2">
        <v>1</v>
      </c>
      <c r="S2">
        <v>2</v>
      </c>
      <c r="T2" t="s">
        <v>271</v>
      </c>
      <c r="U2" t="s">
        <v>271</v>
      </c>
      <c r="V2">
        <v>2</v>
      </c>
      <c r="W2">
        <f>R2</f>
        <v>1</v>
      </c>
      <c r="X2">
        <v>1</v>
      </c>
      <c r="Y2">
        <v>20</v>
      </c>
      <c r="Z2">
        <f>Y2/12</f>
        <v>1.6666666666666667</v>
      </c>
    </row>
    <row r="3" spans="1:26" x14ac:dyDescent="0.45">
      <c r="A3" s="2" t="str">
        <f>B3&amp;C3&amp;F3&amp;G3&amp;H3&amp;I3</f>
        <v>Name</v>
      </c>
      <c r="B3" s="2" t="s">
        <v>1</v>
      </c>
      <c r="C3" s="2" t="str">
        <f>""</f>
        <v/>
      </c>
      <c r="E3" s="2" t="str">
        <f>IF(C3="Employment_1","September 2021 - Present",IF(C3="Employment_2","July 2020 - August 2021",IF(C3="Employment_3","April 2019 - June 2020",IF(C3="Employment_4","August 2017 - March 2019",IF(C3="Employment_5","October 2016 - July 2017","")))))</f>
        <v/>
      </c>
      <c r="I3" s="2" t="str">
        <f>IF(L3="References available on request.","References","")</f>
        <v/>
      </c>
      <c r="L3" s="1" t="s">
        <v>616</v>
      </c>
      <c r="P3">
        <f t="shared" ref="P3:P5" si="0">Q3/12</f>
        <v>1.1666666666666667</v>
      </c>
      <c r="Q3">
        <v>14</v>
      </c>
      <c r="R3">
        <v>2</v>
      </c>
      <c r="S3">
        <v>1</v>
      </c>
      <c r="T3" s="14" t="s">
        <v>272</v>
      </c>
      <c r="U3" s="16" t="s">
        <v>272</v>
      </c>
      <c r="V3">
        <v>1</v>
      </c>
      <c r="W3">
        <f>R5</f>
        <v>4</v>
      </c>
      <c r="X3">
        <v>3</v>
      </c>
      <c r="Y3">
        <f>Q5</f>
        <v>13</v>
      </c>
      <c r="Z3">
        <f t="shared" ref="Z3:Z5" si="1">Y3/12</f>
        <v>1.0833333333333333</v>
      </c>
    </row>
    <row r="4" spans="1:26" x14ac:dyDescent="0.45">
      <c r="A4" s="2" t="str">
        <f t="shared" ref="A4:A65" si="2">B4&amp;C4&amp;F4&amp;G4&amp;H4&amp;I4</f>
        <v>Location</v>
      </c>
      <c r="B4" s="2" t="s">
        <v>2</v>
      </c>
      <c r="C4" s="2" t="str">
        <f>""</f>
        <v/>
      </c>
      <c r="E4" s="2" t="str">
        <f t="shared" ref="E4:E67" si="3">IF(C4="Employment_1","September 2021 - Present",IF(C4="Employment_2","July 2020 - August 2021",IF(C4="Employment_3","April 2019 - June 2020",IF(C4="Employment_4","August 2017 - March 2019",IF(C4="Employment_5","October 2016 - July 2017","")))))</f>
        <v/>
      </c>
      <c r="G4" s="2" t="str">
        <f t="shared" ref="G4:G65" si="4">IF(L3="Certifications","Certification","")</f>
        <v/>
      </c>
      <c r="I4" s="2" t="str">
        <f t="shared" ref="I4:I57" si="5">IF(L4="References available on request.","References","")</f>
        <v/>
      </c>
      <c r="L4" s="1" t="s">
        <v>268</v>
      </c>
      <c r="P4">
        <f t="shared" si="0"/>
        <v>1.5833333333333333</v>
      </c>
      <c r="Q4">
        <v>19</v>
      </c>
      <c r="R4">
        <v>3</v>
      </c>
      <c r="S4">
        <v>2</v>
      </c>
      <c r="T4" s="5" t="s">
        <v>340</v>
      </c>
      <c r="U4" s="14" t="s">
        <v>274</v>
      </c>
      <c r="V4">
        <v>1</v>
      </c>
      <c r="W4">
        <f>R3</f>
        <v>2</v>
      </c>
      <c r="X4">
        <v>4</v>
      </c>
      <c r="Y4">
        <f>Q3</f>
        <v>14</v>
      </c>
      <c r="Z4">
        <f t="shared" si="1"/>
        <v>1.1666666666666667</v>
      </c>
    </row>
    <row r="5" spans="1:26" x14ac:dyDescent="0.45">
      <c r="A5" s="2" t="str">
        <f t="shared" si="2"/>
        <v>Phone</v>
      </c>
      <c r="B5" s="2" t="s">
        <v>3</v>
      </c>
      <c r="C5" s="2" t="str">
        <f>""</f>
        <v/>
      </c>
      <c r="E5" s="2" t="str">
        <f t="shared" si="3"/>
        <v/>
      </c>
      <c r="F5" s="2" t="str">
        <f t="shared" ref="F5:F12" si="6">IF(OR(AND(L2="Education",L5="2013-2017"),ISNUMBER(FIND("GED",M5))),"High School",IF(AND(L3="Education",L4="No Post-Secondary"),"Post Secondary",IF(AND(L3="Education",L4="Bachelor's Degree"),"Post Secondary",IF(AND(L3="Education",L4="Associate's Degree"),"Post Secondary",""))))</f>
        <v/>
      </c>
      <c r="G5" s="2" t="str">
        <f t="shared" si="4"/>
        <v/>
      </c>
      <c r="I5" s="2" t="str">
        <f t="shared" si="5"/>
        <v/>
      </c>
      <c r="L5" s="1" t="s">
        <v>995</v>
      </c>
      <c r="P5">
        <f t="shared" si="0"/>
        <v>1.0833333333333333</v>
      </c>
      <c r="Q5">
        <v>13</v>
      </c>
      <c r="R5">
        <v>4</v>
      </c>
      <c r="S5">
        <v>1</v>
      </c>
      <c r="T5" s="16" t="s">
        <v>341</v>
      </c>
      <c r="U5" s="5" t="s">
        <v>345</v>
      </c>
      <c r="V5">
        <v>2</v>
      </c>
      <c r="W5">
        <f>R4</f>
        <v>3</v>
      </c>
      <c r="X5">
        <v>2</v>
      </c>
      <c r="Y5">
        <f>Q4</f>
        <v>19</v>
      </c>
      <c r="Z5">
        <f t="shared" si="1"/>
        <v>1.5833333333333333</v>
      </c>
    </row>
    <row r="6" spans="1:26" x14ac:dyDescent="0.45">
      <c r="A6" s="2" t="str">
        <f t="shared" si="2"/>
        <v>Email</v>
      </c>
      <c r="B6" s="2" t="s">
        <v>4</v>
      </c>
      <c r="C6" s="2" t="str">
        <f>""</f>
        <v/>
      </c>
      <c r="E6" s="2" t="str">
        <f t="shared" si="3"/>
        <v/>
      </c>
      <c r="F6" s="2" t="str">
        <f t="shared" si="6"/>
        <v/>
      </c>
      <c r="G6" s="2" t="str">
        <f t="shared" si="4"/>
        <v/>
      </c>
      <c r="I6" s="2" t="str">
        <f t="shared" si="5"/>
        <v/>
      </c>
      <c r="L6" s="1" t="s">
        <v>269</v>
      </c>
      <c r="Q6">
        <v>10</v>
      </c>
      <c r="Y6">
        <v>10</v>
      </c>
    </row>
    <row r="7" spans="1:26" x14ac:dyDescent="0.45">
      <c r="A7" s="2" t="str">
        <f t="shared" si="2"/>
        <v>Pronouns</v>
      </c>
      <c r="B7" s="2" t="s">
        <v>5</v>
      </c>
      <c r="C7" s="2" t="str">
        <f>""</f>
        <v/>
      </c>
      <c r="E7" s="2" t="str">
        <f t="shared" si="3"/>
        <v/>
      </c>
      <c r="F7" s="2" t="str">
        <f t="shared" si="6"/>
        <v/>
      </c>
      <c r="G7" s="2" t="str">
        <f t="shared" si="4"/>
        <v/>
      </c>
      <c r="I7" s="2" t="str">
        <f t="shared" si="5"/>
        <v/>
      </c>
      <c r="L7" s="1" t="s">
        <v>1000</v>
      </c>
      <c r="S7">
        <f>22/14</f>
        <v>1.5714285714285714</v>
      </c>
      <c r="T7">
        <f>S7*80000</f>
        <v>125714.28571428571</v>
      </c>
    </row>
    <row r="8" spans="1:26" x14ac:dyDescent="0.45">
      <c r="A8" s="2" t="str">
        <f t="shared" si="2"/>
        <v/>
      </c>
      <c r="B8" s="2" t="str">
        <f>""</f>
        <v/>
      </c>
      <c r="C8" s="2" t="str">
        <f>""</f>
        <v/>
      </c>
      <c r="E8" s="2" t="str">
        <f t="shared" si="3"/>
        <v/>
      </c>
      <c r="F8" s="2" t="str">
        <f t="shared" si="6"/>
        <v/>
      </c>
      <c r="G8" s="2" t="str">
        <f t="shared" si="4"/>
        <v/>
      </c>
      <c r="H8" s="2" t="str">
        <f t="shared" ref="H8:H21" si="7">IF(L7="Skills","Skill_1",IF(L6="Skills","Skill_2",IF(L5="Skills","Skill_3",IF(L4="Skills","Skill_4",IF(L3="Skills","Skill_5",IF(L2="Skills","Skill_6",""))))))</f>
        <v/>
      </c>
      <c r="I8" s="2" t="str">
        <f t="shared" si="5"/>
        <v/>
      </c>
      <c r="L8" s="1"/>
    </row>
    <row r="9" spans="1:26" x14ac:dyDescent="0.45">
      <c r="A9" s="2" t="str">
        <f t="shared" si="2"/>
        <v/>
      </c>
      <c r="B9" s="2" t="str">
        <f>""</f>
        <v/>
      </c>
      <c r="C9" s="2" t="str">
        <f>""</f>
        <v/>
      </c>
      <c r="E9" s="2" t="str">
        <f t="shared" si="3"/>
        <v/>
      </c>
      <c r="F9" s="2" t="str">
        <f t="shared" si="6"/>
        <v/>
      </c>
      <c r="G9" s="2" t="str">
        <f t="shared" si="4"/>
        <v/>
      </c>
      <c r="H9" s="2" t="str">
        <f t="shared" si="7"/>
        <v/>
      </c>
      <c r="I9" s="2" t="str">
        <f t="shared" si="5"/>
        <v/>
      </c>
      <c r="L9" s="1" t="s">
        <v>200</v>
      </c>
    </row>
    <row r="10" spans="1:26" x14ac:dyDescent="0.45">
      <c r="A10" s="2" t="str">
        <f t="shared" si="2"/>
        <v>Summary</v>
      </c>
      <c r="B10" s="2" t="s">
        <v>200</v>
      </c>
      <c r="C10" s="2" t="str">
        <f>""</f>
        <v/>
      </c>
      <c r="E10" s="2" t="str">
        <f t="shared" si="3"/>
        <v/>
      </c>
      <c r="F10" s="2" t="str">
        <f t="shared" si="6"/>
        <v/>
      </c>
      <c r="G10" s="2" t="str">
        <f t="shared" si="4"/>
        <v/>
      </c>
      <c r="H10" s="2" t="str">
        <f t="shared" si="7"/>
        <v/>
      </c>
      <c r="I10" s="2" t="str">
        <f t="shared" si="5"/>
        <v/>
      </c>
      <c r="L10" s="1"/>
    </row>
    <row r="11" spans="1:26" x14ac:dyDescent="0.45">
      <c r="A11" s="2" t="str">
        <f t="shared" si="2"/>
        <v/>
      </c>
      <c r="B11" s="2" t="str">
        <f>""</f>
        <v/>
      </c>
      <c r="C11" s="2" t="str">
        <f>""</f>
        <v/>
      </c>
      <c r="E11" s="2" t="str">
        <f t="shared" si="3"/>
        <v/>
      </c>
      <c r="F11" s="2" t="str">
        <f t="shared" si="6"/>
        <v/>
      </c>
      <c r="G11" s="2" t="str">
        <f t="shared" si="4"/>
        <v/>
      </c>
      <c r="H11" s="2" t="str">
        <f t="shared" si="7"/>
        <v/>
      </c>
      <c r="I11" s="2" t="str">
        <f t="shared" si="5"/>
        <v/>
      </c>
      <c r="L11" s="1"/>
    </row>
    <row r="12" spans="1:26" x14ac:dyDescent="0.45">
      <c r="A12" s="2" t="str">
        <f t="shared" si="2"/>
        <v/>
      </c>
      <c r="B12" s="2" t="str">
        <f>""</f>
        <v/>
      </c>
      <c r="C12" s="2" t="str">
        <f>""</f>
        <v/>
      </c>
      <c r="E12" s="2" t="str">
        <f t="shared" si="3"/>
        <v/>
      </c>
      <c r="F12" s="2" t="str">
        <f t="shared" si="6"/>
        <v/>
      </c>
      <c r="G12" s="2" t="str">
        <f t="shared" si="4"/>
        <v/>
      </c>
      <c r="H12" s="2" t="str">
        <f t="shared" si="7"/>
        <v/>
      </c>
      <c r="I12" s="2" t="str">
        <f t="shared" si="5"/>
        <v/>
      </c>
      <c r="L12" s="1" t="s">
        <v>7</v>
      </c>
    </row>
    <row r="13" spans="1:26" x14ac:dyDescent="0.45">
      <c r="A13" s="2" t="str">
        <f t="shared" si="2"/>
        <v/>
      </c>
      <c r="B13" s="2" t="str">
        <f>""</f>
        <v/>
      </c>
      <c r="E13" s="2" t="str">
        <f t="shared" si="3"/>
        <v/>
      </c>
      <c r="F13" s="2" t="str">
        <f>IF(OR(AND(L10="Education",L13="2013-2017"),ISNUMBER(FIND("GED",M13))),"High School",IF(AND(L11="Education",L12="No Post-Secondary"),"Post Secondary",IF(AND(L11="Education",L12="Bachelor's Degree"),"Post Secondary",IF(AND(L11="Education",L12="Associate's Degree"),"Post Secondary",""))))</f>
        <v/>
      </c>
      <c r="G13" s="2" t="str">
        <f t="shared" si="4"/>
        <v/>
      </c>
      <c r="H13" s="2" t="str">
        <f t="shared" si="7"/>
        <v/>
      </c>
      <c r="I13" s="2" t="str">
        <f t="shared" si="5"/>
        <v/>
      </c>
      <c r="L13" s="1" t="s">
        <v>999</v>
      </c>
    </row>
    <row r="14" spans="1:26" x14ac:dyDescent="0.45">
      <c r="A14" s="2" t="str">
        <f t="shared" si="2"/>
        <v>Post Secondary</v>
      </c>
      <c r="B14" s="2" t="str">
        <f>""</f>
        <v/>
      </c>
      <c r="E14" s="2" t="str">
        <f t="shared" si="3"/>
        <v/>
      </c>
      <c r="F14" s="2" t="str">
        <f>IF(OR(AND(L11="Education",L14="2013-2017"),ISNUMBER(FIND("GED",M14))),"High School",IF(AND(L12="Education",L13="No Post-Secondary"),"Post Secondary",IF(AND(L12="Education",L13="Bachelor's Degree"),"Post Secondary",IF(AND(L12="Education",L13="Associate's Degree"),"Post Secondary",""))))</f>
        <v>Post Secondary</v>
      </c>
      <c r="G14" s="2" t="str">
        <f t="shared" si="4"/>
        <v/>
      </c>
      <c r="H14" s="2" t="str">
        <f t="shared" si="7"/>
        <v/>
      </c>
      <c r="I14" s="2" t="str">
        <f t="shared" si="5"/>
        <v/>
      </c>
      <c r="L14" s="1" t="s">
        <v>1001</v>
      </c>
      <c r="M14" s="1" t="s">
        <v>1002</v>
      </c>
      <c r="N14" s="1" t="s">
        <v>265</v>
      </c>
      <c r="O14" s="1"/>
    </row>
    <row r="15" spans="1:26" x14ac:dyDescent="0.45">
      <c r="A15" s="2" t="str">
        <f t="shared" si="2"/>
        <v>High School</v>
      </c>
      <c r="B15" s="2" t="str">
        <f>""</f>
        <v/>
      </c>
      <c r="E15" s="2" t="str">
        <f t="shared" si="3"/>
        <v/>
      </c>
      <c r="F15" s="2" t="str">
        <f t="shared" ref="F15:F65" si="8">IF(OR(AND(L12="Education",L15="2013-2017"),ISNUMBER(FIND("GED",M15))),"High School",IF(AND(L13="Education",L14="No Post-Secondary"),"Post Secondary",IF(AND(L13="Education",L14="Bachelor's Degree"),"Post Secondary",IF(AND(L13="Education",L14="Associate's Degree"),"Post Secondary",""))))</f>
        <v>High School</v>
      </c>
      <c r="G15" s="2" t="str">
        <f t="shared" si="4"/>
        <v/>
      </c>
      <c r="H15" s="2" t="str">
        <f t="shared" si="7"/>
        <v/>
      </c>
      <c r="I15" s="2" t="str">
        <f t="shared" si="5"/>
        <v/>
      </c>
      <c r="L15" s="1" t="s">
        <v>996</v>
      </c>
      <c r="M15" s="1" t="s">
        <v>551</v>
      </c>
    </row>
    <row r="16" spans="1:26" x14ac:dyDescent="0.45">
      <c r="A16" s="2" t="str">
        <f t="shared" si="2"/>
        <v/>
      </c>
      <c r="B16" s="2" t="str">
        <f>""</f>
        <v/>
      </c>
      <c r="E16" s="2" t="str">
        <f t="shared" si="3"/>
        <v/>
      </c>
      <c r="F16" s="2" t="str">
        <f t="shared" si="8"/>
        <v/>
      </c>
      <c r="G16" s="2" t="str">
        <f t="shared" si="4"/>
        <v/>
      </c>
      <c r="H16" s="2" t="str">
        <f t="shared" si="7"/>
        <v/>
      </c>
      <c r="I16" s="2" t="str">
        <f t="shared" si="5"/>
        <v/>
      </c>
      <c r="L16" s="1"/>
    </row>
    <row r="17" spans="1:14" x14ac:dyDescent="0.45">
      <c r="A17" s="2" t="str">
        <f t="shared" si="2"/>
        <v/>
      </c>
      <c r="B17" s="2" t="str">
        <f>""</f>
        <v/>
      </c>
      <c r="E17" s="2" t="str">
        <f t="shared" si="3"/>
        <v/>
      </c>
      <c r="F17" s="2" t="str">
        <f t="shared" si="8"/>
        <v/>
      </c>
      <c r="G17" s="2" t="str">
        <f t="shared" si="4"/>
        <v/>
      </c>
      <c r="H17" s="2" t="str">
        <f t="shared" si="7"/>
        <v/>
      </c>
      <c r="I17" s="2" t="str">
        <f t="shared" si="5"/>
        <v/>
      </c>
      <c r="L17" s="1" t="s">
        <v>270</v>
      </c>
    </row>
    <row r="18" spans="1:14" x14ac:dyDescent="0.45">
      <c r="A18" s="2" t="str">
        <f t="shared" si="2"/>
        <v>Employment_1</v>
      </c>
      <c r="B18" s="2" t="str">
        <f>""</f>
        <v/>
      </c>
      <c r="C18" s="2" t="str">
        <f>IF(L17="Employment History","Employment_1",NA())</f>
        <v>Employment_1</v>
      </c>
      <c r="E18" s="2" t="str">
        <f t="shared" si="3"/>
        <v>September 2021 - Present</v>
      </c>
      <c r="F18" s="2" t="str">
        <f t="shared" si="8"/>
        <v/>
      </c>
      <c r="G18" s="2" t="str">
        <f t="shared" si="4"/>
        <v/>
      </c>
      <c r="H18" s="2" t="str">
        <f t="shared" si="7"/>
        <v/>
      </c>
      <c r="I18" s="2" t="str">
        <f t="shared" si="5"/>
        <v/>
      </c>
      <c r="L18" s="1" t="s">
        <v>271</v>
      </c>
      <c r="M18" s="1" t="s">
        <v>164</v>
      </c>
      <c r="N18" s="1" t="s">
        <v>65</v>
      </c>
    </row>
    <row r="19" spans="1:14" x14ac:dyDescent="0.45">
      <c r="A19" s="2" t="str">
        <f t="shared" si="2"/>
        <v>Employment_Description_11</v>
      </c>
      <c r="B19" s="2" t="str">
        <f>""</f>
        <v/>
      </c>
      <c r="C19" s="2" t="str">
        <f>IF(ISERROR($C$18),NA(),IF(AND(L19="",M19=""),"","Employment_Description_11"))</f>
        <v>Employment_Description_11</v>
      </c>
      <c r="D19" s="2" t="str">
        <f>IFERROR(INDEX('LU - Ad Hoc Baker Fix'!$D:$D,MATCH(M$18&amp;$C19,'LU - Ad Hoc Baker Fix'!$A:$A,0)),$M19)</f>
        <v>Answered call lights and supported patient comfort and safety by adjusting bed rails and equipment</v>
      </c>
      <c r="E19" s="2" t="str">
        <f t="shared" si="3"/>
        <v/>
      </c>
      <c r="F19" s="2" t="str">
        <f t="shared" si="8"/>
        <v/>
      </c>
      <c r="G19" s="2" t="str">
        <f t="shared" si="4"/>
        <v/>
      </c>
      <c r="H19" s="2" t="str">
        <f t="shared" si="7"/>
        <v/>
      </c>
      <c r="I19" s="2" t="str">
        <f t="shared" si="5"/>
        <v/>
      </c>
      <c r="M19" s="1" t="s">
        <v>1003</v>
      </c>
    </row>
    <row r="20" spans="1:14" x14ac:dyDescent="0.45">
      <c r="A20" s="2" t="str">
        <f t="shared" si="2"/>
        <v>Employment_Description_12</v>
      </c>
      <c r="B20" s="2" t="str">
        <f>""</f>
        <v/>
      </c>
      <c r="C20" s="2" t="str">
        <f>IF(ISERROR($C$18),NA(),IF(AND(L20="",M20=""),"","Employment_Description_12"))</f>
        <v>Employment_Description_12</v>
      </c>
      <c r="D20" s="2" t="str">
        <f>IFERROR(INDEX('LU - Ad Hoc Baker Fix'!$D:$D,MATCH(M$18&amp;$C20,'LU - Ad Hoc Baker Fix'!$A:$A,0)),$M20)</f>
        <v>Promoted good oral and personal hygiene by aiding patients with shaving, bathing, and teeth brushing</v>
      </c>
      <c r="E20" s="2" t="str">
        <f t="shared" si="3"/>
        <v/>
      </c>
      <c r="F20" s="2" t="str">
        <f t="shared" si="8"/>
        <v/>
      </c>
      <c r="G20" s="2" t="str">
        <f t="shared" si="4"/>
        <v/>
      </c>
      <c r="H20" s="2" t="str">
        <f t="shared" si="7"/>
        <v/>
      </c>
      <c r="I20" s="2" t="str">
        <f t="shared" si="5"/>
        <v/>
      </c>
      <c r="M20" s="1" t="s">
        <v>1004</v>
      </c>
    </row>
    <row r="21" spans="1:14" x14ac:dyDescent="0.45">
      <c r="A21" s="2" t="str">
        <f t="shared" si="2"/>
        <v>Employment_Description_13</v>
      </c>
      <c r="B21" s="2" t="str">
        <f>""</f>
        <v/>
      </c>
      <c r="C21" s="2" t="str">
        <f>IF(ISERROR($C$18),NA(),IF(AND(L21="",M21=""),"","Employment_Description_13"))</f>
        <v>Employment_Description_13</v>
      </c>
      <c r="D21" s="2" t="str">
        <f>IFERROR(INDEX('LU - Ad Hoc Baker Fix'!$D:$D,MATCH(M$18&amp;$C21,'LU - Ad Hoc Baker Fix'!$A:$A,0)),$M21)</f>
        <v>Checked patient vitals such as temperature, blood pressure and blood sugar levels</v>
      </c>
      <c r="E21" s="2" t="str">
        <f t="shared" si="3"/>
        <v/>
      </c>
      <c r="F21" s="2" t="str">
        <f t="shared" si="8"/>
        <v/>
      </c>
      <c r="G21" s="2" t="str">
        <f t="shared" si="4"/>
        <v/>
      </c>
      <c r="H21" s="2" t="str">
        <f t="shared" si="7"/>
        <v/>
      </c>
      <c r="I21" s="2" t="str">
        <f t="shared" si="5"/>
        <v/>
      </c>
      <c r="M21" s="1" t="s">
        <v>1005</v>
      </c>
    </row>
    <row r="22" spans="1:14" x14ac:dyDescent="0.45">
      <c r="A22" s="2" t="str">
        <f t="shared" ref="A22" si="9">B22&amp;C22&amp;F22&amp;G22&amp;H22&amp;I22</f>
        <v>Employment_Description_14</v>
      </c>
      <c r="B22" s="2" t="str">
        <f>""</f>
        <v/>
      </c>
      <c r="C22" s="2" t="str">
        <f>IF(ISERROR($C$18),NA(),IF(AND(L22="",M22=""),"","Employment_Description_14"))</f>
        <v>Employment_Description_14</v>
      </c>
      <c r="D22" s="2" t="str">
        <f>IFERROR(INDEX('LU - Ad Hoc Baker Fix'!$D:$D,MATCH(M$18&amp;$C22,'LU - Ad Hoc Baker Fix'!$A:$A,0)),$M22)</f>
        <v>Cared for residents in assisted living facility and delivered high-quality support to meet needs</v>
      </c>
      <c r="E22" s="2" t="str">
        <f t="shared" si="3"/>
        <v/>
      </c>
      <c r="G22" s="2" t="str">
        <f t="shared" si="4"/>
        <v/>
      </c>
      <c r="M22" s="1" t="s">
        <v>1006</v>
      </c>
    </row>
    <row r="23" spans="1:14" x14ac:dyDescent="0.45">
      <c r="A23" s="2" t="str">
        <f t="shared" si="2"/>
        <v>Employment_Description_15</v>
      </c>
      <c r="B23" s="2" t="str">
        <f>""</f>
        <v/>
      </c>
      <c r="C23" s="2" t="str">
        <f>IF(ISERROR($C$18),NA(),IF(AND(L23="",M23=""),"","Employment_Description_15"))</f>
        <v>Employment_Description_15</v>
      </c>
      <c r="D23" s="2" t="str">
        <f>IFERROR(INDEX('LU - Ad Hoc Baker Fix'!$D:$D,MATCH(M$18&amp;$C23,'LU - Ad Hoc Baker Fix'!$A:$A,0)),$M23)</f>
        <v>Practiced proper perineal care to provide comfort and skin integrity</v>
      </c>
      <c r="E23" s="2" t="str">
        <f t="shared" si="3"/>
        <v/>
      </c>
      <c r="F23" s="2" t="str">
        <f>IF(OR(AND(L19="Education",L23="2013-2017"),ISNUMBER(FIND("GED",M23))),"High School",IF(AND(L20="Education",L21="No Post-Secondary"),"Post Secondary",IF(AND(L20="Education",L21="Bachelor's Degree"),"Post Secondary",IF(AND(L20="Education",L21="Associate's Degree"),"Post Secondary",""))))</f>
        <v/>
      </c>
      <c r="G23" s="2" t="str">
        <f t="shared" si="4"/>
        <v/>
      </c>
      <c r="H23" s="2" t="str">
        <f>IF(L21="Skills","Skill_1",IF(L20="Skills","Skill_2",IF(L19="Skills","Skill_3",IF(L18="Skills","Skill_4",IF(L17="Skills","Skill_5",IF(L16="Skills","Skill_6",""))))))</f>
        <v/>
      </c>
      <c r="I23" s="2" t="str">
        <f t="shared" si="5"/>
        <v/>
      </c>
      <c r="M23" s="1" t="s">
        <v>1007</v>
      </c>
    </row>
    <row r="24" spans="1:14" x14ac:dyDescent="0.45">
      <c r="A24" s="2" t="str">
        <f t="shared" si="2"/>
        <v/>
      </c>
      <c r="B24" s="2" t="str">
        <f>""</f>
        <v/>
      </c>
      <c r="C24" s="2" t="str">
        <f>""</f>
        <v/>
      </c>
      <c r="E24" s="2" t="str">
        <f t="shared" si="3"/>
        <v/>
      </c>
      <c r="F24" s="2" t="str">
        <f>IF(OR(AND(L20="Education",L24="2013-2017"),ISNUMBER(FIND("GED",M24))),"High School",IF(AND(L21="Education",L23="No Post-Secondary"),"Post Secondary",IF(AND(L21="Education",L23="Bachelor's Degree"),"Post Secondary",IF(AND(L21="Education",L23="Associate's Degree"),"Post Secondary",""))))</f>
        <v/>
      </c>
      <c r="G24" s="2" t="str">
        <f t="shared" si="4"/>
        <v/>
      </c>
      <c r="H24" s="2" t="str">
        <f>IF(L23="Skills","Skill_1",IF(L21="Skills","Skill_2",IF(L20="Skills","Skill_3",IF(L19="Skills","Skill_4",IF(L18="Skills","Skill_5",IF(L17="Skills","Skill_6",""))))))</f>
        <v/>
      </c>
      <c r="I24" s="2" t="str">
        <f t="shared" si="5"/>
        <v/>
      </c>
      <c r="L24" s="1"/>
    </row>
    <row r="25" spans="1:14" x14ac:dyDescent="0.45">
      <c r="A25" s="2" t="str">
        <f t="shared" si="2"/>
        <v>Employment_3</v>
      </c>
      <c r="B25" s="2" t="str">
        <f>""</f>
        <v/>
      </c>
      <c r="C25" s="2" t="str">
        <f>IF(C$18="#N/A",NA(),IF(AND(L25="",M25=""),"",IF(LEFT(L25,1)="2","Employment_"&amp;RIGHT(C18,1)+2,"")))</f>
        <v>Employment_3</v>
      </c>
      <c r="E25" s="2" t="str">
        <f t="shared" si="3"/>
        <v>April 2019 - June 2020</v>
      </c>
      <c r="F25" s="2" t="str">
        <f>IF(OR(AND(L21="Education",L25="2013-2017"),ISNUMBER(FIND("GED",M25))),"High School",IF(AND(L23="Education",L24="No Post-Secondary"),"Post Secondary",IF(AND(L23="Education",L24="Bachelor's Degree"),"Post Secondary",IF(AND(L23="Education",L24="Associate's Degree"),"Post Secondary",""))))</f>
        <v/>
      </c>
      <c r="G25" s="2" t="str">
        <f t="shared" si="4"/>
        <v/>
      </c>
      <c r="H25" s="2" t="str">
        <f>IF(L24="Skills","Skill_1",IF(L23="Skills","Skill_2",IF(L21="Skills","Skill_3",IF(L20="Skills","Skill_4",IF(L19="Skills","Skill_5",IF(L18="Skills","Skill_6",""))))))</f>
        <v/>
      </c>
      <c r="I25" s="2" t="str">
        <f t="shared" si="5"/>
        <v/>
      </c>
      <c r="L25" s="1" t="s">
        <v>272</v>
      </c>
      <c r="M25" s="1" t="s">
        <v>217</v>
      </c>
      <c r="N25" s="1" t="s">
        <v>53</v>
      </c>
    </row>
    <row r="26" spans="1:14" x14ac:dyDescent="0.45">
      <c r="A26" s="2" t="str">
        <f t="shared" si="2"/>
        <v>Employment_Description_31</v>
      </c>
      <c r="B26" s="2" t="str">
        <f>""</f>
        <v/>
      </c>
      <c r="C26" s="2" t="str">
        <f>IF(C$18="#N/A",NA(),IF(C$25="","",IF(AND(L26="",M26=""),"","Employment_Description_"&amp;LEFT(RIGHT(C19,2),1)+2&amp;RIGHT(C19,1))))</f>
        <v>Employment_Description_31</v>
      </c>
      <c r="D26" s="2" t="str">
        <f>IFERROR(INDEX('LU - Ad Hoc Baker Fix'!$D:$D,MATCH(M$25&amp;$C26,'LU - Ad Hoc Baker Fix'!$A:$A,0)),$M26)</f>
        <v xml:space="preserve">Deliver and follow directions to customers house </v>
      </c>
      <c r="E26" s="2" t="str">
        <f t="shared" si="3"/>
        <v/>
      </c>
      <c r="F26" s="2" t="str">
        <f t="shared" si="8"/>
        <v/>
      </c>
      <c r="G26" s="2" t="str">
        <f t="shared" si="4"/>
        <v/>
      </c>
      <c r="H26" s="2" t="str">
        <f>IF(L25="Skills","Skill_1",IF(L24="Skills","Skill_2",IF(L23="Skills","Skill_3",IF(L21="Skills","Skill_4",IF(L20="Skills","Skill_5",IF(L19="Skills","Skill_6",""))))))</f>
        <v/>
      </c>
      <c r="I26" s="2" t="str">
        <f t="shared" si="5"/>
        <v/>
      </c>
      <c r="M26" s="1" t="s">
        <v>1008</v>
      </c>
    </row>
    <row r="27" spans="1:14" x14ac:dyDescent="0.45">
      <c r="A27" s="2" t="str">
        <f t="shared" si="2"/>
        <v>Employment_Description_32</v>
      </c>
      <c r="B27" s="2" t="str">
        <f>""</f>
        <v/>
      </c>
      <c r="C27" s="2" t="str">
        <f t="shared" ref="C27:C30" si="10">IF(C$18="#N/A",NA(),IF(C$25="","",IF(AND(L27="",M27=""),"","Employment_Description_"&amp;LEFT(RIGHT(C20,2),1)+2&amp;RIGHT(C20,1))))</f>
        <v>Employment_Description_32</v>
      </c>
      <c r="D27" s="2" t="str">
        <f>IFERROR(INDEX('LU - Ad Hoc Baker Fix'!$D:$D,MATCH(M$25&amp;$C27,'LU - Ad Hoc Baker Fix'!$A:$A,0)),$M27)</f>
        <v xml:space="preserve">Provide customer service at counter </v>
      </c>
      <c r="E27" s="2" t="str">
        <f t="shared" si="3"/>
        <v/>
      </c>
      <c r="F27" s="2" t="str">
        <f t="shared" si="8"/>
        <v/>
      </c>
      <c r="G27" s="2" t="str">
        <f t="shared" si="4"/>
        <v/>
      </c>
      <c r="H27" s="2" t="str">
        <f>IF(L26="Skills","Skill_1",IF(L25="Skills","Skill_2",IF(L24="Skills","Skill_3",IF(L23="Skills","Skill_4",IF(L21="Skills","Skill_5",IF(L20="Skills","Skill_6",""))))))</f>
        <v/>
      </c>
      <c r="I27" s="2" t="str">
        <f t="shared" si="5"/>
        <v/>
      </c>
      <c r="M27" s="1" t="s">
        <v>1009</v>
      </c>
    </row>
    <row r="28" spans="1:14" x14ac:dyDescent="0.45">
      <c r="A28" s="2" t="str">
        <f t="shared" si="2"/>
        <v>Employment_Description_33</v>
      </c>
      <c r="B28" s="2" t="str">
        <f>""</f>
        <v/>
      </c>
      <c r="C28" s="2" t="str">
        <f t="shared" si="10"/>
        <v>Employment_Description_33</v>
      </c>
      <c r="D28" s="2" t="str">
        <f>IFERROR(INDEX('LU - Ad Hoc Baker Fix'!$D:$D,MATCH(M$25&amp;$C28,'LU - Ad Hoc Baker Fix'!$A:$A,0)),$M28)</f>
        <v>Clean up for closing</v>
      </c>
      <c r="E28" s="2" t="str">
        <f t="shared" si="3"/>
        <v/>
      </c>
      <c r="F28" s="2" t="str">
        <f t="shared" si="8"/>
        <v/>
      </c>
      <c r="G28" s="2" t="str">
        <f t="shared" si="4"/>
        <v/>
      </c>
      <c r="H28" s="2" t="str">
        <f>IF(L27="Skills","Skill_1",IF(L26="Skills","Skill_2",IF(L25="Skills","Skill_3",IF(L24="Skills","Skill_4",IF(L23="Skills","Skill_5",IF(L21="Skills","Skill_6",""))))))</f>
        <v/>
      </c>
      <c r="I28" s="2" t="str">
        <f t="shared" si="5"/>
        <v/>
      </c>
      <c r="M28" s="1" t="s">
        <v>1010</v>
      </c>
    </row>
    <row r="29" spans="1:14" x14ac:dyDescent="0.45">
      <c r="A29" s="2" t="str">
        <f t="shared" ref="A29:A30" si="11">B29&amp;C29&amp;F29&amp;G29&amp;H29&amp;I29</f>
        <v>Employment_Description_34</v>
      </c>
      <c r="B29" s="2" t="str">
        <f>""</f>
        <v/>
      </c>
      <c r="C29" s="2" t="str">
        <f t="shared" si="10"/>
        <v>Employment_Description_34</v>
      </c>
      <c r="D29" s="2" t="str">
        <f>IFERROR(INDEX('LU - Ad Hoc Baker Fix'!$D:$D,MATCH(M$25&amp;$C29,'LU - Ad Hoc Baker Fix'!$A:$A,0)),$M29)</f>
        <v>n/a</v>
      </c>
      <c r="E29" s="2" t="str">
        <f t="shared" si="3"/>
        <v/>
      </c>
      <c r="G29" s="2" t="str">
        <f t="shared" si="4"/>
        <v/>
      </c>
      <c r="M29" s="1" t="s">
        <v>273</v>
      </c>
    </row>
    <row r="30" spans="1:14" x14ac:dyDescent="0.45">
      <c r="A30" s="2" t="str">
        <f t="shared" si="11"/>
        <v>Employment_Description_35</v>
      </c>
      <c r="B30" s="2" t="str">
        <f>""</f>
        <v/>
      </c>
      <c r="C30" s="2" t="str">
        <f t="shared" si="10"/>
        <v>Employment_Description_35</v>
      </c>
      <c r="D30" s="2" t="str">
        <f>IFERROR(INDEX('LU - Ad Hoc Baker Fix'!$D:$D,MATCH(M$25&amp;$C30,'LU - Ad Hoc Baker Fix'!$A:$A,0)),$M30)</f>
        <v>n/a</v>
      </c>
      <c r="E30" s="2" t="str">
        <f t="shared" si="3"/>
        <v/>
      </c>
      <c r="F30" s="2" t="str">
        <f>IF(OR(AND(L26="Education",L30="2013-2017"),ISNUMBER(FIND("GED",M30))),"High School",IF(AND(L27="Education",L28="No Post-Secondary"),"Post Secondary",IF(AND(L27="Education",L28="Bachelor's Degree"),"Post Secondary",IF(AND(L27="Education",L28="Associate's Degree"),"Post Secondary",""))))</f>
        <v/>
      </c>
      <c r="G30" s="2" t="str">
        <f t="shared" si="4"/>
        <v/>
      </c>
      <c r="H30" s="2" t="str">
        <f>IF(L28="Skills","Skill_1",IF(L27="Skills","Skill_2",IF(L26="Skills","Skill_3",IF(L25="Skills","Skill_4",IF(L24="Skills","Skill_5",IF(L23="Skills","Skill_6",""))))))</f>
        <v/>
      </c>
      <c r="I30" s="2" t="str">
        <f t="shared" si="5"/>
        <v/>
      </c>
      <c r="M30" s="1" t="s">
        <v>273</v>
      </c>
    </row>
    <row r="31" spans="1:14" x14ac:dyDescent="0.45">
      <c r="A31" s="2" t="str">
        <f t="shared" si="2"/>
        <v/>
      </c>
      <c r="B31" s="2" t="str">
        <f>""</f>
        <v/>
      </c>
      <c r="C31" s="2" t="str">
        <f>""</f>
        <v/>
      </c>
      <c r="E31" s="2" t="str">
        <f t="shared" si="3"/>
        <v/>
      </c>
      <c r="F31" s="2" t="str">
        <f>IF(OR(AND(L27="Education",L31="2013-2017"),ISNUMBER(FIND("GED",M31))),"High School",IF(AND(L28="Education",L30="No Post-Secondary"),"Post Secondary",IF(AND(L28="Education",L30="Bachelor's Degree"),"Post Secondary",IF(AND(L28="Education",L30="Associate's Degree"),"Post Secondary",""))))</f>
        <v/>
      </c>
      <c r="G31" s="2" t="str">
        <f t="shared" si="4"/>
        <v/>
      </c>
      <c r="H31" s="2" t="str">
        <f>IF(L30="Skills","Skill_1",IF(L28="Skills","Skill_2",IF(L27="Skills","Skill_3",IF(L26="Skills","Skill_4",IF(L25="Skills","Skill_5",IF(L24="Skills","Skill_6",""))))))</f>
        <v/>
      </c>
      <c r="I31" s="2" t="str">
        <f t="shared" si="5"/>
        <v/>
      </c>
      <c r="L31" s="1"/>
    </row>
    <row r="32" spans="1:14" x14ac:dyDescent="0.45">
      <c r="A32" s="2" t="str">
        <f t="shared" si="2"/>
        <v>Employment_4</v>
      </c>
      <c r="B32" s="2" t="str">
        <f>""</f>
        <v/>
      </c>
      <c r="C32" s="2" t="str">
        <f>IF(C$18="#N/A",NA(),IF(AND(L32="",M32=""),"",IF(LEFT(L32,1)="2","Employment_"&amp;RIGHT(C25,1)+1,"")))</f>
        <v>Employment_4</v>
      </c>
      <c r="E32" s="2" t="str">
        <f t="shared" si="3"/>
        <v>August 2017 - March 2019</v>
      </c>
      <c r="F32" s="2" t="str">
        <f>IF(OR(AND(L28="Education",L32="2013-2017"),ISNUMBER(FIND("GED",M32))),"High School",IF(AND(L30="Education",L31="No Post-Secondary"),"Post Secondary",IF(AND(L30="Education",L31="Bachelor's Degree"),"Post Secondary",IF(AND(L30="Education",L31="Associate's Degree"),"Post Secondary",""))))</f>
        <v/>
      </c>
      <c r="G32" s="2" t="str">
        <f t="shared" si="4"/>
        <v/>
      </c>
      <c r="H32" s="2" t="str">
        <f>IF(L31="Skills","Skill_1",IF(L30="Skills","Skill_2",IF(L28="Skills","Skill_3",IF(L27="Skills","Skill_4",IF(L26="Skills","Skill_5",IF(L25="Skills","Skill_6",""))))))</f>
        <v/>
      </c>
      <c r="I32" s="2" t="str">
        <f t="shared" si="5"/>
        <v/>
      </c>
      <c r="L32" s="1" t="s">
        <v>274</v>
      </c>
      <c r="M32" s="1" t="s">
        <v>208</v>
      </c>
      <c r="N32" s="1" t="s">
        <v>64</v>
      </c>
    </row>
    <row r="33" spans="1:14" x14ac:dyDescent="0.45">
      <c r="A33" s="2" t="str">
        <f t="shared" si="2"/>
        <v>Employment_Description_41</v>
      </c>
      <c r="B33" s="2" t="str">
        <f>""</f>
        <v/>
      </c>
      <c r="C33" s="2" t="str">
        <f>IF(C$18="#N/A",NA(),IF(C$32="","",IF(AND(L33="",M33=""),"","Employment_Description_"&amp;LEFT(RIGHT(C26,2),1)+1&amp;RIGHT(C26,1))))</f>
        <v>Employment_Description_41</v>
      </c>
      <c r="D33" s="2" t="str">
        <f>IFERROR(INDEX('LU - Ad Hoc Baker Fix'!$D:$D,MATCH(M$32&amp;$C33,'LU - Ad Hoc Baker Fix'!$A:$A,0)),$M33)</f>
        <v xml:space="preserve">Serve as direct assistant to Office Manager, supporting all aspects of clerical and administrative needs </v>
      </c>
      <c r="E33" s="2" t="str">
        <f t="shared" si="3"/>
        <v/>
      </c>
      <c r="F33" s="2" t="str">
        <f t="shared" si="8"/>
        <v/>
      </c>
      <c r="G33" s="2" t="str">
        <f t="shared" si="4"/>
        <v/>
      </c>
      <c r="H33" s="2" t="str">
        <f>IF(L32="Skills","Skill_1",IF(L31="Skills","Skill_2",IF(L30="Skills","Skill_3",IF(L28="Skills","Skill_4",IF(L27="Skills","Skill_5",IF(L26="Skills","Skill_6",""))))))</f>
        <v/>
      </c>
      <c r="I33" s="2" t="str">
        <f t="shared" si="5"/>
        <v/>
      </c>
      <c r="M33" s="1" t="s">
        <v>1011</v>
      </c>
    </row>
    <row r="34" spans="1:14" x14ac:dyDescent="0.45">
      <c r="A34" s="2" t="str">
        <f t="shared" si="2"/>
        <v>Employment_Description_42</v>
      </c>
      <c r="B34" s="2" t="str">
        <f>""</f>
        <v/>
      </c>
      <c r="C34" s="2" t="str">
        <f t="shared" ref="C34:C37" si="12">IF(C$18="#N/A",NA(),IF(C$32="","",IF(AND(L34="",M34=""),"","Employment_Description_"&amp;LEFT(RIGHT(C27,2),1)+1&amp;RIGHT(C27,1))))</f>
        <v>Employment_Description_42</v>
      </c>
      <c r="D34" s="2" t="str">
        <f>IFERROR(INDEX('LU - Ad Hoc Baker Fix'!$D:$D,MATCH(M$32&amp;$C34,'LU - Ad Hoc Baker Fix'!$A:$A,0)),$M34)</f>
        <v>Alleviate executive overload by handling all patient interactions including walk-ins, email, phone, and fax coordination</v>
      </c>
      <c r="E34" s="2" t="str">
        <f t="shared" si="3"/>
        <v/>
      </c>
      <c r="F34" s="2" t="str">
        <f t="shared" si="8"/>
        <v/>
      </c>
      <c r="G34" s="2" t="str">
        <f t="shared" si="4"/>
        <v/>
      </c>
      <c r="H34" s="2" t="str">
        <f>IF(L33="Skills","Skill_1",IF(L32="Skills","Skill_2",IF(L31="Skills","Skill_3",IF(L30="Skills","Skill_4",IF(L28="Skills","Skill_5",IF(L27="Skills","Skill_6",""))))))</f>
        <v/>
      </c>
      <c r="I34" s="2" t="str">
        <f t="shared" si="5"/>
        <v/>
      </c>
      <c r="M34" s="1" t="s">
        <v>1012</v>
      </c>
    </row>
    <row r="35" spans="1:14" x14ac:dyDescent="0.45">
      <c r="A35" s="2" t="str">
        <f t="shared" si="2"/>
        <v>Employment_Description_43</v>
      </c>
      <c r="B35" s="2" t="str">
        <f>""</f>
        <v/>
      </c>
      <c r="C35" s="2" t="str">
        <f t="shared" si="12"/>
        <v>Employment_Description_43</v>
      </c>
      <c r="D35" s="2" t="str">
        <f>IFERROR(INDEX('LU - Ad Hoc Baker Fix'!$D:$D,MATCH(M$32&amp;$C35,'LU - Ad Hoc Baker Fix'!$A:$A,0)),$M35)</f>
        <v xml:space="preserve">Screen phone calls, taking messages, assisting callers, and rerouting as needed </v>
      </c>
      <c r="E35" s="2" t="str">
        <f t="shared" si="3"/>
        <v/>
      </c>
      <c r="F35" s="2" t="str">
        <f t="shared" si="8"/>
        <v/>
      </c>
      <c r="G35" s="2" t="str">
        <f t="shared" si="4"/>
        <v/>
      </c>
      <c r="H35" s="2" t="str">
        <f>IF(L34="Skills","Skill_1",IF(L33="Skills","Skill_2",IF(L32="Skills","Skill_3",IF(L31="Skills","Skill_4",IF(L30="Skills","Skill_5",IF(L28="Skills","Skill_6",""))))))</f>
        <v/>
      </c>
      <c r="I35" s="2" t="str">
        <f t="shared" si="5"/>
        <v/>
      </c>
      <c r="M35" s="1" t="s">
        <v>1013</v>
      </c>
    </row>
    <row r="36" spans="1:14" x14ac:dyDescent="0.45">
      <c r="A36" s="2" t="str">
        <f t="shared" ref="A36:A37" si="13">B36&amp;C36&amp;F36&amp;G36&amp;H36&amp;I36</f>
        <v>Employment_Description_44</v>
      </c>
      <c r="B36" s="2" t="str">
        <f>""</f>
        <v/>
      </c>
      <c r="C36" s="2" t="str">
        <f t="shared" si="12"/>
        <v>Employment_Description_44</v>
      </c>
      <c r="D36" s="2" t="str">
        <f>IFERROR(INDEX('LU - Ad Hoc Baker Fix'!$D:$D,MATCH(M$32&amp;$C36,'LU - Ad Hoc Baker Fix'!$A:$A,0)),$M36)</f>
        <v>Act as the first step in Billing by collecting accurate demographic and insurance information from patients</v>
      </c>
      <c r="E36" s="2" t="str">
        <f t="shared" si="3"/>
        <v/>
      </c>
      <c r="G36" s="2" t="str">
        <f t="shared" si="4"/>
        <v/>
      </c>
      <c r="M36" s="1" t="s">
        <v>1014</v>
      </c>
    </row>
    <row r="37" spans="1:14" x14ac:dyDescent="0.45">
      <c r="A37" s="2" t="str">
        <f t="shared" si="13"/>
        <v>Employment_Description_45</v>
      </c>
      <c r="B37" s="2" t="str">
        <f>""</f>
        <v/>
      </c>
      <c r="C37" s="2" t="str">
        <f t="shared" si="12"/>
        <v>Employment_Description_45</v>
      </c>
      <c r="D37" s="2" t="str">
        <f>IFERROR(INDEX('LU - Ad Hoc Baker Fix'!$D:$D,MATCH(M$32&amp;$C37,'LU - Ad Hoc Baker Fix'!$A:$A,0)),$M37)</f>
        <v>n/a</v>
      </c>
      <c r="E37" s="2" t="str">
        <f t="shared" si="3"/>
        <v/>
      </c>
      <c r="F37" s="2" t="str">
        <f>IF(OR(AND(L33="Education",L37="2013-2017"),ISNUMBER(FIND("GED",M37))),"High School",IF(AND(L34="Education",L35="No Post-Secondary"),"Post Secondary",IF(AND(L34="Education",L35="Bachelor's Degree"),"Post Secondary",IF(AND(L34="Education",L35="Associate's Degree"),"Post Secondary",""))))</f>
        <v/>
      </c>
      <c r="G37" s="2" t="str">
        <f t="shared" si="4"/>
        <v/>
      </c>
      <c r="H37" s="2" t="str">
        <f>IF(L35="Skills","Skill_1",IF(L34="Skills","Skill_2",IF(L33="Skills","Skill_3",IF(L32="Skills","Skill_4",IF(L31="Skills","Skill_5",IF(L30="Skills","Skill_6",""))))))</f>
        <v/>
      </c>
      <c r="I37" s="2" t="str">
        <f t="shared" si="5"/>
        <v/>
      </c>
      <c r="M37" s="1" t="s">
        <v>273</v>
      </c>
    </row>
    <row r="38" spans="1:14" x14ac:dyDescent="0.45">
      <c r="A38" s="2" t="str">
        <f t="shared" si="2"/>
        <v/>
      </c>
      <c r="B38" s="2" t="str">
        <f>""</f>
        <v/>
      </c>
      <c r="C38" s="2" t="str">
        <f>""</f>
        <v/>
      </c>
      <c r="E38" s="2" t="str">
        <f t="shared" si="3"/>
        <v/>
      </c>
      <c r="F38" s="2" t="str">
        <f>IF(OR(AND(L34="Education",L38="2013-2017"),ISNUMBER(FIND("GED",M38))),"High School",IF(AND(L35="Education",L37="No Post-Secondary"),"Post Secondary",IF(AND(L35="Education",L37="Bachelor's Degree"),"Post Secondary",IF(AND(L35="Education",L37="Associate's Degree"),"Post Secondary",""))))</f>
        <v/>
      </c>
      <c r="G38" s="2" t="str">
        <f t="shared" si="4"/>
        <v/>
      </c>
      <c r="H38" s="2" t="str">
        <f>IF(L37="Skills","Skill_1",IF(L35="Skills","Skill_2",IF(L34="Skills","Skill_3",IF(L33="Skills","Skill_4",IF(L32="Skills","Skill_5",IF(L31="Skills","Skill_6",""))))))</f>
        <v/>
      </c>
      <c r="I38" s="2" t="str">
        <f t="shared" si="5"/>
        <v/>
      </c>
      <c r="L38" s="1"/>
    </row>
    <row r="39" spans="1:14" x14ac:dyDescent="0.45">
      <c r="A39" s="2" t="str">
        <f t="shared" si="2"/>
        <v>Employment_2</v>
      </c>
      <c r="B39" s="2" t="str">
        <f>""</f>
        <v/>
      </c>
      <c r="C39" s="2" t="str">
        <f>IF(C$18="#N/A",NA(),IF(AND(L39="",M39=""),"",IF(LEFT(L39,1)="2","Employment_"&amp;RIGHT(C32,1)-2,"")))</f>
        <v>Employment_2</v>
      </c>
      <c r="E39" s="2" t="str">
        <f t="shared" si="3"/>
        <v>July 2020 - August 2021</v>
      </c>
      <c r="F39" s="2" t="str">
        <f>IF(OR(AND(L35="Education",L39="2013-2017"),ISNUMBER(FIND("GED",M39))),"High School",IF(AND(L37="Education",L38="No Post-Secondary"),"Post Secondary",IF(AND(L37="Education",L38="Bachelor's Degree"),"Post Secondary",IF(AND(L37="Education",L38="Associate's Degree"),"Post Secondary",""))))</f>
        <v/>
      </c>
      <c r="G39" s="2" t="str">
        <f t="shared" si="4"/>
        <v/>
      </c>
      <c r="H39" s="2" t="str">
        <f>IF(L38="Skills","Skill_1",IF(L37="Skills","Skill_2",IF(L35="Skills","Skill_3",IF(L34="Skills","Skill_4",IF(L33="Skills","Skill_5",IF(L32="Skills","Skill_6",""))))))</f>
        <v/>
      </c>
      <c r="I39" s="2" t="str">
        <f t="shared" si="5"/>
        <v/>
      </c>
      <c r="L39" s="1" t="s">
        <v>983</v>
      </c>
      <c r="M39" s="1" t="s">
        <v>11</v>
      </c>
      <c r="N39" s="1" t="s">
        <v>64</v>
      </c>
    </row>
    <row r="40" spans="1:14" x14ac:dyDescent="0.45">
      <c r="A40" s="2" t="str">
        <f t="shared" si="2"/>
        <v>Employment_Description_21</v>
      </c>
      <c r="B40" s="2" t="str">
        <f>""</f>
        <v/>
      </c>
      <c r="C40" s="2" t="str">
        <f>IF(C$18="#N/A",NA(),IF(C$39="","",IF(AND(L40="",M40=""),"","Employment_Description_"&amp;LEFT(RIGHT(C33,2),1)-2&amp;RIGHT(C33,1))))</f>
        <v>Employment_Description_21</v>
      </c>
      <c r="D40" s="2" t="str">
        <f>IFERROR(INDEX('LU - Ad Hoc Baker Fix'!$D:$D,MATCH(M$39&amp;$C40,'LU - Ad Hoc Baker Fix'!$A:$A,0)),$M40)</f>
        <v>Responsible for greeting and seating customers, including managing wait lists</v>
      </c>
      <c r="E40" s="2" t="str">
        <f t="shared" si="3"/>
        <v/>
      </c>
      <c r="F40" s="2" t="str">
        <f t="shared" si="8"/>
        <v/>
      </c>
      <c r="G40" s="2" t="str">
        <f t="shared" si="4"/>
        <v/>
      </c>
      <c r="H40" s="2" t="str">
        <f>IF(L39="Skills","Skill_1",IF(L38="Skills","Skill_2",IF(L37="Skills","Skill_3",IF(L35="Skills","Skill_4",IF(L34="Skills","Skill_5",IF(L33="Skills","Skill_6",""))))))</f>
        <v/>
      </c>
      <c r="I40" s="2" t="str">
        <f t="shared" si="5"/>
        <v/>
      </c>
      <c r="M40" s="1" t="s">
        <v>1015</v>
      </c>
    </row>
    <row r="41" spans="1:14" x14ac:dyDescent="0.45">
      <c r="A41" s="2" t="str">
        <f t="shared" si="2"/>
        <v>Employment_Description_22</v>
      </c>
      <c r="B41" s="2" t="str">
        <f>""</f>
        <v/>
      </c>
      <c r="C41" s="2" t="str">
        <f t="shared" ref="C41:C44" si="14">IF(C$18="#N/A",NA(),IF(C$39="","",IF(AND(L41="",M41=""),"","Employment_Description_"&amp;LEFT(RIGHT(C34,2),1)-2&amp;RIGHT(C34,1))))</f>
        <v>Employment_Description_22</v>
      </c>
      <c r="D41" s="2" t="str">
        <f>IFERROR(INDEX('LU - Ad Hoc Baker Fix'!$D:$D,MATCH(M$39&amp;$C41,'LU - Ad Hoc Baker Fix'!$A:$A,0)),$M41)</f>
        <v>Coordinate with serving staff to ensure a smooth and satisfactory service</v>
      </c>
      <c r="E41" s="2" t="str">
        <f t="shared" si="3"/>
        <v/>
      </c>
      <c r="F41" s="2" t="str">
        <f t="shared" si="8"/>
        <v/>
      </c>
      <c r="G41" s="2" t="str">
        <f t="shared" si="4"/>
        <v/>
      </c>
      <c r="H41" s="2" t="str">
        <f>IF(L40="Skills","Skill_1",IF(L39="Skills","Skill_2",IF(L38="Skills","Skill_3",IF(L37="Skills","Skill_4",IF(L35="Skills","Skill_5",IF(L34="Skills","Skill_6",""))))))</f>
        <v/>
      </c>
      <c r="I41" s="2" t="str">
        <f t="shared" si="5"/>
        <v/>
      </c>
      <c r="M41" s="1" t="s">
        <v>1016</v>
      </c>
    </row>
    <row r="42" spans="1:14" x14ac:dyDescent="0.45">
      <c r="A42" s="2" t="str">
        <f t="shared" si="2"/>
        <v>Employment_Description_23</v>
      </c>
      <c r="B42" s="2" t="str">
        <f>""</f>
        <v/>
      </c>
      <c r="C42" s="2" t="str">
        <f t="shared" si="14"/>
        <v>Employment_Description_23</v>
      </c>
      <c r="D42" s="2" t="str">
        <f>IFERROR(INDEX('LU - Ad Hoc Baker Fix'!$D:$D,MATCH(M$39&amp;$C42,'LU - Ad Hoc Baker Fix'!$A:$A,0)),$M42)</f>
        <v>Answered phones, recorded reservations, and resolved customer issues</v>
      </c>
      <c r="E42" s="2" t="str">
        <f t="shared" si="3"/>
        <v/>
      </c>
      <c r="F42" s="2" t="str">
        <f t="shared" si="8"/>
        <v/>
      </c>
      <c r="G42" s="2" t="str">
        <f t="shared" si="4"/>
        <v/>
      </c>
      <c r="H42" s="2" t="str">
        <f>IF(L41="Skills","Skill_1",IF(L40="Skills","Skill_2",IF(L39="Skills","Skill_3",IF(L38="Skills","Skill_4",IF(L37="Skills","Skill_5",IF(L35="Skills","Skill_6",""))))))</f>
        <v/>
      </c>
      <c r="I42" s="2" t="str">
        <f t="shared" si="5"/>
        <v/>
      </c>
      <c r="M42" s="1" t="s">
        <v>1017</v>
      </c>
    </row>
    <row r="43" spans="1:14" x14ac:dyDescent="0.45">
      <c r="A43" s="2" t="str">
        <f t="shared" ref="A43:A44" si="15">B43&amp;C43&amp;F43&amp;G43&amp;H43&amp;I43</f>
        <v>Employment_Description_24</v>
      </c>
      <c r="B43" s="2" t="str">
        <f>""</f>
        <v/>
      </c>
      <c r="C43" s="2" t="str">
        <f t="shared" si="14"/>
        <v>Employment_Description_24</v>
      </c>
      <c r="D43" s="2" t="str">
        <f>IFERROR(INDEX('LU - Ad Hoc Baker Fix'!$D:$D,MATCH(M$39&amp;$C43,'LU - Ad Hoc Baker Fix'!$A:$A,0)),$M43)</f>
        <v>n/a</v>
      </c>
      <c r="E43" s="2" t="str">
        <f t="shared" si="3"/>
        <v/>
      </c>
      <c r="G43" s="2" t="str">
        <f t="shared" si="4"/>
        <v/>
      </c>
      <c r="M43" s="1" t="s">
        <v>273</v>
      </c>
    </row>
    <row r="44" spans="1:14" x14ac:dyDescent="0.45">
      <c r="A44" s="2" t="str">
        <f t="shared" si="15"/>
        <v>Employment_Description_25</v>
      </c>
      <c r="B44" s="2" t="str">
        <f>""</f>
        <v/>
      </c>
      <c r="C44" s="2" t="str">
        <f t="shared" si="14"/>
        <v>Employment_Description_25</v>
      </c>
      <c r="D44" s="2" t="str">
        <f>IFERROR(INDEX('LU - Ad Hoc Baker Fix'!$D:$D,MATCH(M$39&amp;$C44,'LU - Ad Hoc Baker Fix'!$A:$A,0)),$M44)</f>
        <v>n/a</v>
      </c>
      <c r="E44" s="2" t="str">
        <f t="shared" si="3"/>
        <v/>
      </c>
      <c r="F44" s="2" t="str">
        <f>IF(OR(AND(L40="Education",L44="2013-2017"),ISNUMBER(FIND("GED",M44))),"High School",IF(AND(L41="Education",L42="No Post-Secondary"),"Post Secondary",IF(AND(L41="Education",L42="Bachelor's Degree"),"Post Secondary",IF(AND(L41="Education",L42="Associate's Degree"),"Post Secondary",""))))</f>
        <v/>
      </c>
      <c r="G44" s="2" t="str">
        <f t="shared" si="4"/>
        <v/>
      </c>
      <c r="H44" s="2" t="str">
        <f>IF(L42="Skills","Skill_1",IF(L41="Skills","Skill_2",IF(L40="Skills","Skill_3",IF(L39="Skills","Skill_4",IF(L38="Skills","Skill_5",IF(L37="Skills","Skill_6",""))))))</f>
        <v/>
      </c>
      <c r="I44" s="2" t="str">
        <f t="shared" si="5"/>
        <v/>
      </c>
      <c r="M44" s="1" t="s">
        <v>273</v>
      </c>
    </row>
    <row r="45" spans="1:14" x14ac:dyDescent="0.45">
      <c r="A45" s="2" t="str">
        <f t="shared" si="2"/>
        <v/>
      </c>
      <c r="B45" s="2" t="str">
        <f>""</f>
        <v/>
      </c>
      <c r="C45" s="2" t="str">
        <f>""</f>
        <v/>
      </c>
      <c r="E45" s="2" t="str">
        <f t="shared" si="3"/>
        <v/>
      </c>
      <c r="F45" s="2" t="str">
        <f>IF(OR(AND(L41="Education",L45="2013-2017"),ISNUMBER(FIND("GED",M45))),"High School",IF(AND(L42="Education",L44="No Post-Secondary"),"Post Secondary",IF(AND(L42="Education",L44="Bachelor's Degree"),"Post Secondary",IF(AND(L42="Education",L44="Associate's Degree"),"Post Secondary",""))))</f>
        <v/>
      </c>
      <c r="G45" s="2" t="str">
        <f t="shared" si="4"/>
        <v/>
      </c>
      <c r="H45" s="2" t="str">
        <f>IF(L44="Skills","Skill_1",IF(L42="Skills","Skill_2",IF(L41="Skills","Skill_3",IF(L40="Skills","Skill_4",IF(L39="Skills","Skill_5",IF(L38="Skills","Skill_6",""))))))</f>
        <v/>
      </c>
      <c r="I45" s="2" t="str">
        <f t="shared" si="5"/>
        <v/>
      </c>
      <c r="L45" s="1"/>
    </row>
    <row r="46" spans="1:14" x14ac:dyDescent="0.45">
      <c r="A46" s="2" t="str">
        <f t="shared" si="2"/>
        <v/>
      </c>
      <c r="B46" s="2" t="str">
        <f>""</f>
        <v/>
      </c>
      <c r="C46" s="2" t="str">
        <f>IF(C$18="#N/A",NA(),IF(AND(L46="",M46=""),"",IF(LEFT(L46,1)="2","Employment_"&amp;RIGHT(C39,1)+3,"")))</f>
        <v/>
      </c>
      <c r="E46" s="2" t="str">
        <f t="shared" si="3"/>
        <v/>
      </c>
      <c r="F46" s="2" t="str">
        <f>IF(OR(AND(L42="Education",L46="2013-2017"),ISNUMBER(FIND("GED",M46))),"High School",IF(AND(L44="Education",L45="No Post-Secondary"),"Post Secondary",IF(AND(L44="Education",L45="Bachelor's Degree"),"Post Secondary",IF(AND(L44="Education",L45="Associate's Degree"),"Post Secondary",""))))</f>
        <v/>
      </c>
      <c r="G46" s="2" t="str">
        <f t="shared" si="4"/>
        <v/>
      </c>
      <c r="H46" s="2" t="str">
        <f>IF(L45="Skills","Skill_1",IF(L44="Skills","Skill_2",IF(L42="Skills","Skill_3",IF(L41="Skills","Skill_4",IF(L40="Skills","Skill_5",IF(L39="Skills","Skill_6",""))))))</f>
        <v/>
      </c>
      <c r="I46" s="2" t="str">
        <f t="shared" si="5"/>
        <v/>
      </c>
      <c r="L46" s="1" t="s">
        <v>997</v>
      </c>
    </row>
    <row r="47" spans="1:14" x14ac:dyDescent="0.45">
      <c r="A47" s="2" t="str">
        <f t="shared" si="2"/>
        <v/>
      </c>
      <c r="B47" s="2" t="str">
        <f>""</f>
        <v/>
      </c>
      <c r="C47" s="2" t="str">
        <f>IF(C$18="#N/A",NA(),IF(C$46="","",IF(AND(L47="",M47=""),"","Employment_Description_"&amp;LEFT(RIGHT(C40,2),1)+3&amp;RIGHT(C40,1))))</f>
        <v/>
      </c>
      <c r="D47" s="2">
        <f>IFERROR(INDEX('LU - Ad Hoc Baker Fix'!$D:$D,MATCH(M$46&amp;$C47,'LU - Ad Hoc Baker Fix'!$A:$A,0)),$M47)</f>
        <v>0</v>
      </c>
      <c r="E47" s="2" t="str">
        <f t="shared" si="3"/>
        <v/>
      </c>
      <c r="F47" s="2" t="str">
        <f t="shared" si="8"/>
        <v/>
      </c>
      <c r="G47" s="2" t="str">
        <f t="shared" si="4"/>
        <v/>
      </c>
      <c r="H47" s="2" t="str">
        <f>IF(L46="Skills","Skill_1",IF(L45="Skills","Skill_2",IF(L44="Skills","Skill_3",IF(L42="Skills","Skill_4",IF(L41="Skills","Skill_5",IF(L40="Skills","Skill_6",""))))))</f>
        <v/>
      </c>
      <c r="I47" s="2" t="str">
        <f t="shared" si="5"/>
        <v/>
      </c>
      <c r="L47" s="1"/>
    </row>
    <row r="48" spans="1:14" x14ac:dyDescent="0.45">
      <c r="A48" s="2" t="str">
        <f t="shared" si="2"/>
        <v/>
      </c>
      <c r="B48" s="2" t="str">
        <f>""</f>
        <v/>
      </c>
      <c r="C48" s="2" t="str">
        <f t="shared" ref="C48:C51" si="16">IF(C$18="#N/A",NA(),IF(C$46="","",IF(AND(L48="",M48=""),"","Employment_Description_"&amp;LEFT(RIGHT(C41,2),1)+3&amp;RIGHT(C41,1))))</f>
        <v/>
      </c>
      <c r="D48" s="2">
        <f>IFERROR(INDEX('LU - Ad Hoc Baker Fix'!$D:$D,MATCH(M$46&amp;$C48,'LU - Ad Hoc Baker Fix'!$A:$A,0)),$M48)</f>
        <v>0</v>
      </c>
      <c r="E48" s="2" t="str">
        <f t="shared" si="3"/>
        <v/>
      </c>
      <c r="F48" s="2" t="str">
        <f t="shared" si="8"/>
        <v/>
      </c>
      <c r="G48" s="2" t="str">
        <f t="shared" si="4"/>
        <v/>
      </c>
      <c r="H48" s="2" t="str">
        <f>IF(L47="Skills","Skill_1",IF(L46="Skills","Skill_2",IF(L45="Skills","Skill_3",IF(L44="Skills","Skill_4",IF(L42="Skills","Skill_5",IF(L41="Skills","Skill_6",""))))))</f>
        <v/>
      </c>
      <c r="I48" s="2" t="str">
        <f t="shared" si="5"/>
        <v/>
      </c>
      <c r="L48" s="1" t="s">
        <v>0</v>
      </c>
    </row>
    <row r="49" spans="1:12" x14ac:dyDescent="0.45">
      <c r="A49" s="2" t="str">
        <f t="shared" si="2"/>
        <v>Certification</v>
      </c>
      <c r="B49" s="2" t="str">
        <f>""</f>
        <v/>
      </c>
      <c r="C49" s="2" t="str">
        <f t="shared" si="16"/>
        <v/>
      </c>
      <c r="D49" s="2">
        <f>IFERROR(INDEX('LU - Ad Hoc Baker Fix'!$D:$D,MATCH(M$46&amp;$C49,'LU - Ad Hoc Baker Fix'!$A:$A,0)),$M49)</f>
        <v>0</v>
      </c>
      <c r="E49" s="2" t="str">
        <f t="shared" si="3"/>
        <v/>
      </c>
      <c r="F49" s="2" t="str">
        <f t="shared" si="8"/>
        <v/>
      </c>
      <c r="G49" s="2" t="str">
        <f>IF(L48="Certifications","Certification","")</f>
        <v>Certification</v>
      </c>
      <c r="H49" s="2" t="str">
        <f>IF(L48="Skills","Skill_1",IF(L47="Skills","Skill_2",IF(L46="Skills","Skill_3",IF(L45="Skills","Skill_4",IF(L44="Skills","Skill_5",IF(L42="Skills","Skill_6",""))))))</f>
        <v/>
      </c>
      <c r="I49" s="2" t="str">
        <f t="shared" si="5"/>
        <v/>
      </c>
      <c r="L49" s="1" t="s">
        <v>1018</v>
      </c>
    </row>
    <row r="50" spans="1:12" x14ac:dyDescent="0.45">
      <c r="A50" s="2" t="str">
        <f t="shared" si="2"/>
        <v/>
      </c>
      <c r="B50" s="2" t="str">
        <f>""</f>
        <v/>
      </c>
      <c r="C50" s="2" t="str">
        <f t="shared" si="16"/>
        <v/>
      </c>
      <c r="D50" s="2">
        <f>IFERROR(INDEX('LU - Ad Hoc Baker Fix'!$D:$D,MATCH(M$46&amp;$C50,'LU - Ad Hoc Baker Fix'!$A:$A,0)),$M50)</f>
        <v>0</v>
      </c>
      <c r="E50" s="2" t="str">
        <f t="shared" si="3"/>
        <v/>
      </c>
      <c r="F50" s="2" t="str">
        <f t="shared" si="8"/>
        <v/>
      </c>
      <c r="G50" s="2" t="str">
        <f t="shared" si="4"/>
        <v/>
      </c>
      <c r="H50" s="2" t="str">
        <f t="shared" ref="H50:H65" si="17">IF(L49="Skills","Skill_1",IF(L48="Skills","Skill_2",IF(L47="Skills","Skill_3",IF(L46="Skills","Skill_4",IF(L45="Skills","Skill_5",IF(L44="Skills","Skill_6",""))))))</f>
        <v/>
      </c>
      <c r="I50" s="2" t="str">
        <f t="shared" si="5"/>
        <v/>
      </c>
      <c r="L50" s="1"/>
    </row>
    <row r="51" spans="1:12" x14ac:dyDescent="0.45">
      <c r="A51" s="2" t="str">
        <f t="shared" si="2"/>
        <v/>
      </c>
      <c r="B51" s="2" t="str">
        <f>""</f>
        <v/>
      </c>
      <c r="C51" s="2" t="str">
        <f t="shared" si="16"/>
        <v/>
      </c>
      <c r="D51" s="2">
        <f>IFERROR(INDEX('LU - Ad Hoc Baker Fix'!$D:$D,MATCH(M$46&amp;$C51,'LU - Ad Hoc Baker Fix'!$A:$A,0)),$M51)</f>
        <v>0</v>
      </c>
      <c r="E51" s="2" t="str">
        <f t="shared" si="3"/>
        <v/>
      </c>
      <c r="F51" s="2" t="str">
        <f t="shared" si="8"/>
        <v/>
      </c>
      <c r="G51" s="2" t="str">
        <f t="shared" si="4"/>
        <v/>
      </c>
      <c r="H51" s="2" t="str">
        <f t="shared" si="17"/>
        <v/>
      </c>
      <c r="I51" s="2" t="str">
        <f t="shared" si="5"/>
        <v/>
      </c>
      <c r="L51" s="1" t="s">
        <v>8</v>
      </c>
    </row>
    <row r="52" spans="1:12" x14ac:dyDescent="0.45">
      <c r="A52" s="2" t="str">
        <f t="shared" si="2"/>
        <v>Skill_1</v>
      </c>
      <c r="B52" s="2" t="str">
        <f>""</f>
        <v/>
      </c>
      <c r="C52" s="2" t="str">
        <f>""</f>
        <v/>
      </c>
      <c r="E52" s="2" t="str">
        <f t="shared" si="3"/>
        <v/>
      </c>
      <c r="F52" s="2" t="str">
        <f t="shared" si="8"/>
        <v/>
      </c>
      <c r="G52" s="2" t="str">
        <f t="shared" si="4"/>
        <v/>
      </c>
      <c r="H52" s="2" t="str">
        <f t="shared" si="17"/>
        <v>Skill_1</v>
      </c>
      <c r="I52" s="2" t="str">
        <f t="shared" si="5"/>
        <v/>
      </c>
      <c r="L52" s="1" t="s">
        <v>1019</v>
      </c>
    </row>
    <row r="53" spans="1:12" x14ac:dyDescent="0.45">
      <c r="A53" s="2" t="str">
        <f t="shared" si="2"/>
        <v>Skill_2</v>
      </c>
      <c r="B53" s="2" t="str">
        <f>""</f>
        <v/>
      </c>
      <c r="C53" s="2" t="str">
        <f>""</f>
        <v/>
      </c>
      <c r="E53" s="2" t="str">
        <f t="shared" si="3"/>
        <v/>
      </c>
      <c r="F53" s="2" t="str">
        <f t="shared" si="8"/>
        <v/>
      </c>
      <c r="G53" s="2" t="str">
        <f t="shared" si="4"/>
        <v/>
      </c>
      <c r="H53" s="2" t="str">
        <f t="shared" si="17"/>
        <v>Skill_2</v>
      </c>
      <c r="I53" s="2" t="str">
        <f t="shared" si="5"/>
        <v/>
      </c>
      <c r="L53" s="1" t="s">
        <v>998</v>
      </c>
    </row>
    <row r="54" spans="1:12" x14ac:dyDescent="0.45">
      <c r="A54" s="2" t="str">
        <f t="shared" si="2"/>
        <v>Skill_3</v>
      </c>
      <c r="B54" s="2" t="str">
        <f>""</f>
        <v/>
      </c>
      <c r="C54" s="2" t="str">
        <f>""</f>
        <v/>
      </c>
      <c r="E54" s="2" t="str">
        <f t="shared" si="3"/>
        <v/>
      </c>
      <c r="F54" s="2" t="str">
        <f t="shared" si="8"/>
        <v/>
      </c>
      <c r="G54" s="2" t="str">
        <f t="shared" si="4"/>
        <v/>
      </c>
      <c r="H54" s="2" t="str">
        <f t="shared" si="17"/>
        <v>Skill_3</v>
      </c>
      <c r="I54" s="2" t="str">
        <f t="shared" si="5"/>
        <v/>
      </c>
      <c r="L54" s="1" t="s">
        <v>1020</v>
      </c>
    </row>
    <row r="55" spans="1:12" x14ac:dyDescent="0.45">
      <c r="A55" s="2" t="str">
        <f t="shared" si="2"/>
        <v>Skill_4</v>
      </c>
      <c r="B55" s="2" t="str">
        <f>""</f>
        <v/>
      </c>
      <c r="C55" s="2" t="str">
        <f>""</f>
        <v/>
      </c>
      <c r="E55" s="2" t="str">
        <f t="shared" si="3"/>
        <v/>
      </c>
      <c r="F55" s="2" t="str">
        <f t="shared" si="8"/>
        <v/>
      </c>
      <c r="G55" s="2" t="str">
        <f t="shared" si="4"/>
        <v/>
      </c>
      <c r="H55" s="2" t="str">
        <f t="shared" si="17"/>
        <v>Skill_4</v>
      </c>
      <c r="I55" s="2" t="str">
        <f t="shared" si="5"/>
        <v/>
      </c>
      <c r="L55" s="1" t="s">
        <v>1021</v>
      </c>
    </row>
    <row r="56" spans="1:12" x14ac:dyDescent="0.45">
      <c r="A56" s="2" t="str">
        <f t="shared" si="2"/>
        <v>Skill_5</v>
      </c>
      <c r="B56" s="2" t="str">
        <f>""</f>
        <v/>
      </c>
      <c r="C56" s="2" t="str">
        <f>""</f>
        <v/>
      </c>
      <c r="E56" s="2" t="str">
        <f t="shared" si="3"/>
        <v/>
      </c>
      <c r="F56" s="2" t="str">
        <f t="shared" si="8"/>
        <v/>
      </c>
      <c r="G56" s="2" t="str">
        <f t="shared" si="4"/>
        <v/>
      </c>
      <c r="H56" s="2" t="str">
        <f t="shared" si="17"/>
        <v>Skill_5</v>
      </c>
      <c r="I56" s="2" t="str">
        <f t="shared" si="5"/>
        <v/>
      </c>
      <c r="L56" s="1" t="s">
        <v>1022</v>
      </c>
    </row>
    <row r="57" spans="1:12" x14ac:dyDescent="0.45">
      <c r="A57" s="2" t="str">
        <f t="shared" si="2"/>
        <v>Skill_6</v>
      </c>
      <c r="B57" s="2" t="str">
        <f>""</f>
        <v/>
      </c>
      <c r="C57" s="2" t="str">
        <f>""</f>
        <v/>
      </c>
      <c r="E57" s="2" t="str">
        <f t="shared" si="3"/>
        <v/>
      </c>
      <c r="F57" s="2" t="str">
        <f t="shared" si="8"/>
        <v/>
      </c>
      <c r="G57" s="2" t="str">
        <f t="shared" si="4"/>
        <v/>
      </c>
      <c r="H57" s="2" t="str">
        <f t="shared" si="17"/>
        <v>Skill_6</v>
      </c>
      <c r="I57" s="2" t="str">
        <f t="shared" si="5"/>
        <v/>
      </c>
      <c r="L57" s="1" t="s">
        <v>1023</v>
      </c>
    </row>
    <row r="58" spans="1:12" x14ac:dyDescent="0.45">
      <c r="A58" s="2" t="str">
        <f t="shared" si="2"/>
        <v/>
      </c>
      <c r="B58" s="2" t="str">
        <f>""</f>
        <v/>
      </c>
      <c r="C58" s="2" t="str">
        <f>""</f>
        <v/>
      </c>
      <c r="E58" s="2" t="str">
        <f t="shared" si="3"/>
        <v/>
      </c>
      <c r="F58" s="2" t="str">
        <f t="shared" si="8"/>
        <v/>
      </c>
      <c r="G58" s="2" t="str">
        <f t="shared" si="4"/>
        <v/>
      </c>
      <c r="H58" s="2" t="str">
        <f t="shared" si="17"/>
        <v/>
      </c>
      <c r="I58" s="2" t="str">
        <f t="shared" ref="I58:I65" si="18">IF(L58="References available on request.","References","")</f>
        <v/>
      </c>
      <c r="L58" s="1"/>
    </row>
    <row r="59" spans="1:12" x14ac:dyDescent="0.45">
      <c r="A59" s="2" t="str">
        <f t="shared" si="2"/>
        <v>References</v>
      </c>
      <c r="B59" s="2" t="str">
        <f>""</f>
        <v/>
      </c>
      <c r="C59" s="2" t="str">
        <f>""</f>
        <v/>
      </c>
      <c r="E59" s="2" t="str">
        <f t="shared" si="3"/>
        <v/>
      </c>
      <c r="F59" s="2" t="str">
        <f t="shared" si="8"/>
        <v/>
      </c>
      <c r="G59" s="2" t="str">
        <f t="shared" si="4"/>
        <v/>
      </c>
      <c r="H59" s="2" t="str">
        <f t="shared" si="17"/>
        <v/>
      </c>
      <c r="I59" s="2" t="str">
        <f t="shared" si="18"/>
        <v>References</v>
      </c>
      <c r="L59" s="1" t="s">
        <v>275</v>
      </c>
    </row>
    <row r="60" spans="1:12" x14ac:dyDescent="0.45">
      <c r="A60" s="2" t="str">
        <f t="shared" si="2"/>
        <v/>
      </c>
      <c r="B60" s="2" t="str">
        <f>""</f>
        <v/>
      </c>
      <c r="C60" s="2" t="str">
        <f>""</f>
        <v/>
      </c>
      <c r="E60" s="2" t="str">
        <f t="shared" si="3"/>
        <v/>
      </c>
      <c r="F60" s="2" t="str">
        <f t="shared" si="8"/>
        <v/>
      </c>
      <c r="G60" s="2" t="str">
        <f t="shared" si="4"/>
        <v/>
      </c>
      <c r="H60" s="2" t="str">
        <f t="shared" si="17"/>
        <v/>
      </c>
      <c r="I60" s="2" t="str">
        <f t="shared" si="18"/>
        <v/>
      </c>
      <c r="L60" s="1"/>
    </row>
    <row r="61" spans="1:12" x14ac:dyDescent="0.45">
      <c r="A61" s="2" t="str">
        <f t="shared" si="2"/>
        <v/>
      </c>
      <c r="B61" s="2" t="str">
        <f>""</f>
        <v/>
      </c>
      <c r="C61" s="2" t="str">
        <f>""</f>
        <v/>
      </c>
      <c r="E61" s="2" t="str">
        <f t="shared" si="3"/>
        <v/>
      </c>
      <c r="F61" s="2" t="str">
        <f t="shared" si="8"/>
        <v/>
      </c>
      <c r="G61" s="2" t="str">
        <f t="shared" si="4"/>
        <v/>
      </c>
      <c r="H61" s="2" t="str">
        <f t="shared" si="17"/>
        <v/>
      </c>
      <c r="I61" s="2" t="str">
        <f t="shared" si="18"/>
        <v/>
      </c>
      <c r="L61" s="1"/>
    </row>
    <row r="62" spans="1:12" x14ac:dyDescent="0.45">
      <c r="A62" s="2" t="str">
        <f t="shared" si="2"/>
        <v/>
      </c>
      <c r="B62" s="2" t="str">
        <f>""</f>
        <v/>
      </c>
      <c r="C62" s="2" t="str">
        <f>""</f>
        <v/>
      </c>
      <c r="E62" s="2" t="str">
        <f t="shared" si="3"/>
        <v/>
      </c>
      <c r="F62" s="2" t="str">
        <f t="shared" si="8"/>
        <v/>
      </c>
      <c r="G62" s="2" t="str">
        <f t="shared" si="4"/>
        <v/>
      </c>
      <c r="H62" s="2" t="str">
        <f t="shared" si="17"/>
        <v/>
      </c>
      <c r="I62" s="2" t="str">
        <f t="shared" si="18"/>
        <v/>
      </c>
      <c r="L62" s="1"/>
    </row>
    <row r="63" spans="1:12" x14ac:dyDescent="0.45">
      <c r="A63" s="2" t="str">
        <f t="shared" si="2"/>
        <v/>
      </c>
      <c r="B63" s="2" t="str">
        <f>""</f>
        <v/>
      </c>
      <c r="C63" s="2" t="str">
        <f>""</f>
        <v/>
      </c>
      <c r="E63" s="2" t="str">
        <f t="shared" si="3"/>
        <v/>
      </c>
      <c r="F63" s="2" t="str">
        <f t="shared" si="8"/>
        <v/>
      </c>
      <c r="G63" s="2" t="str">
        <f t="shared" si="4"/>
        <v/>
      </c>
      <c r="H63" s="2" t="str">
        <f t="shared" si="17"/>
        <v/>
      </c>
      <c r="I63" s="2" t="str">
        <f t="shared" si="18"/>
        <v/>
      </c>
      <c r="L63" s="1"/>
    </row>
    <row r="64" spans="1:12" x14ac:dyDescent="0.45">
      <c r="A64" s="2" t="str">
        <f t="shared" si="2"/>
        <v/>
      </c>
      <c r="B64" s="2" t="str">
        <f>""</f>
        <v/>
      </c>
      <c r="C64" s="2" t="str">
        <f>""</f>
        <v/>
      </c>
      <c r="E64" s="2" t="str">
        <f t="shared" si="3"/>
        <v/>
      </c>
      <c r="F64" s="2" t="str">
        <f t="shared" si="8"/>
        <v/>
      </c>
      <c r="G64" s="2" t="str">
        <f t="shared" si="4"/>
        <v/>
      </c>
      <c r="H64" s="2" t="str">
        <f t="shared" si="17"/>
        <v/>
      </c>
      <c r="I64" s="2" t="str">
        <f t="shared" si="18"/>
        <v/>
      </c>
      <c r="L64" s="1"/>
    </row>
    <row r="65" spans="1:12" x14ac:dyDescent="0.45">
      <c r="A65" s="2" t="str">
        <f t="shared" si="2"/>
        <v/>
      </c>
      <c r="B65" s="2" t="str">
        <f>""</f>
        <v/>
      </c>
      <c r="C65" s="2" t="str">
        <f>""</f>
        <v/>
      </c>
      <c r="E65" s="2" t="str">
        <f t="shared" si="3"/>
        <v/>
      </c>
      <c r="F65" s="2" t="str">
        <f t="shared" si="8"/>
        <v/>
      </c>
      <c r="G65" s="2" t="str">
        <f t="shared" si="4"/>
        <v/>
      </c>
      <c r="H65" s="2" t="str">
        <f t="shared" si="17"/>
        <v/>
      </c>
      <c r="I65" s="2" t="str">
        <f t="shared" si="18"/>
        <v/>
      </c>
      <c r="L65" s="1"/>
    </row>
    <row r="66" spans="1:12" x14ac:dyDescent="0.45">
      <c r="A66" s="2" t="str">
        <f t="shared" ref="A66:A79" si="19">B66&amp;C66&amp;F66&amp;G66&amp;H66&amp;I66</f>
        <v/>
      </c>
      <c r="B66" s="2" t="str">
        <f>""</f>
        <v/>
      </c>
      <c r="C66" s="2" t="str">
        <f>""</f>
        <v/>
      </c>
      <c r="E66" s="2" t="str">
        <f t="shared" si="3"/>
        <v/>
      </c>
      <c r="F66" s="2" t="str">
        <f t="shared" ref="F66:F79" si="20">IF(OR(AND(L63="Education",L66="2013-2017"),ISNUMBER(FIND("GED",M66))),"High School",IF(AND(L64="Education",L65="No Post-Secondary"),"Post Secondary",IF(AND(L64="Education",L65="Bachelor's Degree"),"Post Secondary",IF(AND(L64="Education",L65="Associate's Degree"),"Post Secondary",""))))</f>
        <v/>
      </c>
      <c r="G66" s="2" t="str">
        <f t="shared" ref="G66:G79" si="21">IF(L65="Certifications","Certification","")</f>
        <v/>
      </c>
      <c r="H66" s="2" t="str">
        <f t="shared" ref="H66:H79" si="22">IF(L65="Skills","Skill_1",IF(L64="Skills","Skill_2",IF(L63="Skills","Skill_3",IF(L62="Skills","Skill_4",IF(L61="Skills","Skill_5",IF(L60="Skills","Skill_6",""))))))</f>
        <v/>
      </c>
      <c r="I66" s="2" t="str">
        <f t="shared" ref="I66:I79" si="23">IF(L66="References available on request.","References","")</f>
        <v/>
      </c>
    </row>
    <row r="67" spans="1:12" x14ac:dyDescent="0.45">
      <c r="A67" s="2" t="str">
        <f t="shared" si="19"/>
        <v/>
      </c>
      <c r="B67" s="2" t="str">
        <f>""</f>
        <v/>
      </c>
      <c r="C67" s="2" t="str">
        <f>""</f>
        <v/>
      </c>
      <c r="E67" s="2" t="str">
        <f t="shared" si="3"/>
        <v/>
      </c>
      <c r="F67" s="2" t="str">
        <f t="shared" si="20"/>
        <v/>
      </c>
      <c r="G67" s="2" t="str">
        <f t="shared" si="21"/>
        <v/>
      </c>
      <c r="H67" s="2" t="str">
        <f t="shared" si="22"/>
        <v/>
      </c>
      <c r="I67" s="2" t="str">
        <f t="shared" si="23"/>
        <v/>
      </c>
    </row>
    <row r="68" spans="1:12" x14ac:dyDescent="0.45">
      <c r="A68" s="2" t="str">
        <f t="shared" si="19"/>
        <v/>
      </c>
      <c r="B68" s="2" t="str">
        <f>""</f>
        <v/>
      </c>
      <c r="C68" s="2" t="str">
        <f>""</f>
        <v/>
      </c>
      <c r="E68" s="2" t="str">
        <f t="shared" ref="E68:E79" si="24">IF(C68="Employment_1","September 2021 - Present",IF(C68="Employment_2","July 2020 - August 2021",IF(C68="Employment_3","April 2019 - June 2020",IF(C68="Employment_4","August 2017 - March 2019",IF(C68="Employment_5","October 2016 - July 2017","")))))</f>
        <v/>
      </c>
      <c r="F68" s="2" t="str">
        <f t="shared" si="20"/>
        <v/>
      </c>
      <c r="G68" s="2" t="str">
        <f t="shared" si="21"/>
        <v/>
      </c>
      <c r="H68" s="2" t="str">
        <f t="shared" si="22"/>
        <v/>
      </c>
      <c r="I68" s="2" t="str">
        <f t="shared" si="23"/>
        <v/>
      </c>
    </row>
    <row r="69" spans="1:12" x14ac:dyDescent="0.45">
      <c r="A69" s="2" t="str">
        <f t="shared" si="19"/>
        <v/>
      </c>
      <c r="B69" s="2" t="str">
        <f>""</f>
        <v/>
      </c>
      <c r="C69" s="2" t="str">
        <f>""</f>
        <v/>
      </c>
      <c r="E69" s="2" t="str">
        <f t="shared" si="24"/>
        <v/>
      </c>
      <c r="F69" s="2" t="str">
        <f t="shared" si="20"/>
        <v/>
      </c>
      <c r="G69" s="2" t="str">
        <f t="shared" si="21"/>
        <v/>
      </c>
      <c r="H69" s="2" t="str">
        <f t="shared" si="22"/>
        <v/>
      </c>
      <c r="I69" s="2" t="str">
        <f t="shared" si="23"/>
        <v/>
      </c>
    </row>
    <row r="70" spans="1:12" x14ac:dyDescent="0.45">
      <c r="A70" s="2" t="str">
        <f t="shared" si="19"/>
        <v/>
      </c>
      <c r="B70" s="2" t="str">
        <f>""</f>
        <v/>
      </c>
      <c r="C70" s="2" t="str">
        <f>""</f>
        <v/>
      </c>
      <c r="E70" s="2" t="str">
        <f t="shared" si="24"/>
        <v/>
      </c>
      <c r="F70" s="2" t="str">
        <f t="shared" si="20"/>
        <v/>
      </c>
      <c r="G70" s="2" t="str">
        <f t="shared" si="21"/>
        <v/>
      </c>
      <c r="H70" s="2" t="str">
        <f t="shared" si="22"/>
        <v/>
      </c>
      <c r="I70" s="2" t="str">
        <f t="shared" si="23"/>
        <v/>
      </c>
    </row>
    <row r="71" spans="1:12" x14ac:dyDescent="0.45">
      <c r="A71" s="2" t="str">
        <f t="shared" si="19"/>
        <v/>
      </c>
      <c r="B71" s="2" t="str">
        <f>""</f>
        <v/>
      </c>
      <c r="C71" s="2" t="str">
        <f>""</f>
        <v/>
      </c>
      <c r="E71" s="2" t="str">
        <f t="shared" si="24"/>
        <v/>
      </c>
      <c r="F71" s="2" t="str">
        <f t="shared" si="20"/>
        <v/>
      </c>
      <c r="G71" s="2" t="str">
        <f t="shared" si="21"/>
        <v/>
      </c>
      <c r="H71" s="2" t="str">
        <f t="shared" si="22"/>
        <v/>
      </c>
      <c r="I71" s="2" t="str">
        <f t="shared" si="23"/>
        <v/>
      </c>
    </row>
    <row r="72" spans="1:12" x14ac:dyDescent="0.45">
      <c r="A72" s="2" t="str">
        <f t="shared" si="19"/>
        <v/>
      </c>
      <c r="B72" s="2" t="str">
        <f>""</f>
        <v/>
      </c>
      <c r="C72" s="2" t="str">
        <f>""</f>
        <v/>
      </c>
      <c r="E72" s="2" t="str">
        <f t="shared" si="24"/>
        <v/>
      </c>
      <c r="F72" s="2" t="str">
        <f t="shared" si="20"/>
        <v/>
      </c>
      <c r="G72" s="2" t="str">
        <f t="shared" si="21"/>
        <v/>
      </c>
      <c r="H72" s="2" t="str">
        <f t="shared" si="22"/>
        <v/>
      </c>
      <c r="I72" s="2" t="str">
        <f t="shared" si="23"/>
        <v/>
      </c>
    </row>
    <row r="73" spans="1:12" x14ac:dyDescent="0.45">
      <c r="A73" s="2" t="str">
        <f t="shared" si="19"/>
        <v/>
      </c>
      <c r="B73" s="2" t="str">
        <f>""</f>
        <v/>
      </c>
      <c r="C73" s="2" t="str">
        <f>""</f>
        <v/>
      </c>
      <c r="E73" s="2" t="str">
        <f t="shared" si="24"/>
        <v/>
      </c>
      <c r="F73" s="2" t="str">
        <f t="shared" si="20"/>
        <v/>
      </c>
      <c r="G73" s="2" t="str">
        <f t="shared" si="21"/>
        <v/>
      </c>
      <c r="H73" s="2" t="str">
        <f t="shared" si="22"/>
        <v/>
      </c>
      <c r="I73" s="2" t="str">
        <f t="shared" si="23"/>
        <v/>
      </c>
    </row>
    <row r="74" spans="1:12" x14ac:dyDescent="0.45">
      <c r="A74" s="2" t="str">
        <f t="shared" si="19"/>
        <v/>
      </c>
      <c r="B74" s="2" t="str">
        <f>""</f>
        <v/>
      </c>
      <c r="C74" s="2" t="str">
        <f>""</f>
        <v/>
      </c>
      <c r="E74" s="2" t="str">
        <f t="shared" si="24"/>
        <v/>
      </c>
      <c r="F74" s="2" t="str">
        <f t="shared" si="20"/>
        <v/>
      </c>
      <c r="G74" s="2" t="str">
        <f t="shared" si="21"/>
        <v/>
      </c>
      <c r="H74" s="2" t="str">
        <f t="shared" si="22"/>
        <v/>
      </c>
      <c r="I74" s="2" t="str">
        <f t="shared" si="23"/>
        <v/>
      </c>
    </row>
    <row r="75" spans="1:12" x14ac:dyDescent="0.45">
      <c r="A75" s="2" t="str">
        <f t="shared" si="19"/>
        <v/>
      </c>
      <c r="B75" s="2" t="str">
        <f>""</f>
        <v/>
      </c>
      <c r="C75" s="2" t="str">
        <f>""</f>
        <v/>
      </c>
      <c r="E75" s="2" t="str">
        <f t="shared" si="24"/>
        <v/>
      </c>
      <c r="F75" s="2" t="str">
        <f t="shared" si="20"/>
        <v/>
      </c>
      <c r="G75" s="2" t="str">
        <f t="shared" si="21"/>
        <v/>
      </c>
      <c r="H75" s="2" t="str">
        <f t="shared" si="22"/>
        <v/>
      </c>
      <c r="I75" s="2" t="str">
        <f t="shared" si="23"/>
        <v/>
      </c>
    </row>
    <row r="76" spans="1:12" x14ac:dyDescent="0.45">
      <c r="A76" s="2" t="str">
        <f t="shared" si="19"/>
        <v/>
      </c>
      <c r="B76" s="2" t="str">
        <f>""</f>
        <v/>
      </c>
      <c r="C76" s="2" t="str">
        <f>""</f>
        <v/>
      </c>
      <c r="E76" s="2" t="str">
        <f t="shared" si="24"/>
        <v/>
      </c>
      <c r="F76" s="2" t="str">
        <f t="shared" si="20"/>
        <v/>
      </c>
      <c r="G76" s="2" t="str">
        <f t="shared" si="21"/>
        <v/>
      </c>
      <c r="H76" s="2" t="str">
        <f t="shared" si="22"/>
        <v/>
      </c>
      <c r="I76" s="2" t="str">
        <f t="shared" si="23"/>
        <v/>
      </c>
    </row>
    <row r="77" spans="1:12" x14ac:dyDescent="0.45">
      <c r="A77" s="2" t="str">
        <f t="shared" si="19"/>
        <v/>
      </c>
      <c r="B77" s="2" t="str">
        <f>""</f>
        <v/>
      </c>
      <c r="C77" s="2" t="str">
        <f>""</f>
        <v/>
      </c>
      <c r="E77" s="2" t="str">
        <f t="shared" si="24"/>
        <v/>
      </c>
      <c r="F77" s="2" t="str">
        <f t="shared" si="20"/>
        <v/>
      </c>
      <c r="G77" s="2" t="str">
        <f t="shared" si="21"/>
        <v/>
      </c>
      <c r="H77" s="2" t="str">
        <f t="shared" si="22"/>
        <v/>
      </c>
      <c r="I77" s="2" t="str">
        <f t="shared" si="23"/>
        <v/>
      </c>
    </row>
    <row r="78" spans="1:12" x14ac:dyDescent="0.45">
      <c r="A78" s="2" t="str">
        <f t="shared" si="19"/>
        <v/>
      </c>
      <c r="B78" s="2" t="str">
        <f>""</f>
        <v/>
      </c>
      <c r="C78" s="2" t="str">
        <f>""</f>
        <v/>
      </c>
      <c r="E78" s="2" t="str">
        <f t="shared" si="24"/>
        <v/>
      </c>
      <c r="F78" s="2" t="str">
        <f t="shared" si="20"/>
        <v/>
      </c>
      <c r="G78" s="2" t="str">
        <f t="shared" si="21"/>
        <v/>
      </c>
      <c r="H78" s="2" t="str">
        <f t="shared" si="22"/>
        <v/>
      </c>
      <c r="I78" s="2" t="str">
        <f t="shared" si="23"/>
        <v/>
      </c>
    </row>
    <row r="79" spans="1:12" x14ac:dyDescent="0.45">
      <c r="A79" s="2" t="str">
        <f t="shared" si="19"/>
        <v/>
      </c>
      <c r="B79" s="2" t="str">
        <f>""</f>
        <v/>
      </c>
      <c r="C79" s="2" t="str">
        <f>""</f>
        <v/>
      </c>
      <c r="E79" s="2" t="str">
        <f t="shared" si="24"/>
        <v/>
      </c>
      <c r="F79" s="2" t="str">
        <f t="shared" si="20"/>
        <v/>
      </c>
      <c r="G79" s="2" t="str">
        <f t="shared" si="21"/>
        <v/>
      </c>
      <c r="H79" s="2" t="str">
        <f t="shared" si="22"/>
        <v/>
      </c>
      <c r="I79" s="2" t="str">
        <f t="shared" si="23"/>
        <v/>
      </c>
    </row>
  </sheetData>
  <mergeCells count="2">
    <mergeCell ref="L1:N1"/>
    <mergeCell ref="L2:O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1B5C52C-50D3-4608-9E79-17037A64A3FC}">
          <x14:formula1>
            <xm:f>'LU - Company Names'!$E$1:$J$1</xm:f>
          </x14:formula1>
          <xm:sqref>O1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EA098-7FF3-40D0-99C3-EDCDADF8B607}">
  <sheetPr>
    <tabColor theme="8"/>
  </sheetPr>
  <dimension ref="A1:N178"/>
  <sheetViews>
    <sheetView zoomScale="70" zoomScaleNormal="70" workbookViewId="0">
      <pane xSplit="7" ySplit="3" topLeftCell="H151" activePane="bottomRight" state="frozen"/>
      <selection activeCell="O61" sqref="O61"/>
      <selection pane="topRight" activeCell="O61" sqref="O61"/>
      <selection pane="bottomLeft" activeCell="O61" sqref="O61"/>
      <selection pane="bottomRight" activeCell="H178" sqref="H3:H178"/>
    </sheetView>
  </sheetViews>
  <sheetFormatPr defaultRowHeight="14.25" outlineLevelCol="1" x14ac:dyDescent="0.45"/>
  <cols>
    <col min="1" max="1" width="20.796875" style="2" hidden="1" customWidth="1" outlineLevel="1"/>
    <col min="2" max="4" width="8.73046875" style="6" hidden="1" customWidth="1" outlineLevel="1"/>
    <col min="5" max="6" width="8.73046875" style="9" hidden="1" customWidth="1" outlineLevel="1"/>
    <col min="7" max="7" width="3.53125" customWidth="1" collapsed="1"/>
  </cols>
  <sheetData>
    <row r="1" spans="8:14" ht="18.399999999999999" thickBot="1" x14ac:dyDescent="0.6">
      <c r="H1" s="23" t="s">
        <v>190</v>
      </c>
      <c r="I1" s="24"/>
      <c r="J1" s="24"/>
      <c r="K1" s="24"/>
      <c r="L1" s="24"/>
      <c r="M1" s="24"/>
      <c r="N1" s="25"/>
    </row>
    <row r="2" spans="8:14" ht="14.65" thickBot="1" x14ac:dyDescent="0.5"/>
    <row r="3" spans="8:14" ht="14.65" thickBot="1" x14ac:dyDescent="0.5">
      <c r="H3" s="19" t="s">
        <v>14</v>
      </c>
      <c r="L3" s="1"/>
    </row>
    <row r="4" spans="8:14" x14ac:dyDescent="0.45">
      <c r="H4" t="s">
        <v>283</v>
      </c>
      <c r="L4" s="1"/>
    </row>
    <row r="5" spans="8:14" x14ac:dyDescent="0.45">
      <c r="H5" t="s">
        <v>14</v>
      </c>
      <c r="L5" s="1"/>
    </row>
    <row r="6" spans="8:14" x14ac:dyDescent="0.45">
      <c r="H6" t="s">
        <v>15</v>
      </c>
      <c r="L6" s="1"/>
    </row>
    <row r="7" spans="8:14" x14ac:dyDescent="0.45">
      <c r="H7" t="s">
        <v>284</v>
      </c>
      <c r="L7" s="1"/>
    </row>
    <row r="8" spans="8:14" x14ac:dyDescent="0.45">
      <c r="H8" t="s">
        <v>982</v>
      </c>
      <c r="L8" s="1"/>
    </row>
    <row r="9" spans="8:14" x14ac:dyDescent="0.45">
      <c r="H9" s="15" t="s">
        <v>358</v>
      </c>
      <c r="I9" s="14"/>
      <c r="J9" s="14"/>
      <c r="K9" s="14"/>
      <c r="L9" s="1"/>
    </row>
    <row r="10" spans="8:14" x14ac:dyDescent="0.45">
      <c r="H10" t="s">
        <v>15</v>
      </c>
      <c r="L10" s="1"/>
    </row>
    <row r="11" spans="8:14" x14ac:dyDescent="0.45">
      <c r="H11" t="s">
        <v>14</v>
      </c>
      <c r="L11" s="1"/>
    </row>
    <row r="12" spans="8:14" x14ac:dyDescent="0.45">
      <c r="H12" t="s">
        <v>22</v>
      </c>
      <c r="L12" s="1"/>
    </row>
    <row r="13" spans="8:14" x14ac:dyDescent="0.45">
      <c r="H13" t="s">
        <v>14</v>
      </c>
      <c r="L13" s="1"/>
    </row>
    <row r="14" spans="8:14" x14ac:dyDescent="0.45">
      <c r="H14" t="s">
        <v>285</v>
      </c>
      <c r="L14" s="1"/>
    </row>
    <row r="15" spans="8:14" x14ac:dyDescent="0.45">
      <c r="H15" t="s">
        <v>664</v>
      </c>
      <c r="L15" s="1"/>
      <c r="M15" s="1"/>
    </row>
    <row r="16" spans="8:14" x14ac:dyDescent="0.45">
      <c r="H16" t="s">
        <v>15</v>
      </c>
      <c r="L16" s="1"/>
    </row>
    <row r="17" spans="8:14" x14ac:dyDescent="0.45">
      <c r="H17" t="s">
        <v>286</v>
      </c>
      <c r="L17" s="1"/>
    </row>
    <row r="18" spans="8:14" x14ac:dyDescent="0.45">
      <c r="H18" t="s">
        <v>16</v>
      </c>
      <c r="L18" s="1"/>
      <c r="M18" s="1"/>
      <c r="N18" s="1"/>
    </row>
    <row r="19" spans="8:14" x14ac:dyDescent="0.45">
      <c r="H19" t="s">
        <v>15</v>
      </c>
      <c r="M19" s="1"/>
    </row>
    <row r="20" spans="8:14" x14ac:dyDescent="0.45">
      <c r="H20" t="s">
        <v>287</v>
      </c>
      <c r="M20" s="1"/>
    </row>
    <row r="21" spans="8:14" x14ac:dyDescent="0.45">
      <c r="H21" t="s">
        <v>17</v>
      </c>
      <c r="M21" s="1"/>
    </row>
    <row r="22" spans="8:14" x14ac:dyDescent="0.45">
      <c r="H22" t="s">
        <v>15</v>
      </c>
      <c r="M22" s="1"/>
    </row>
    <row r="23" spans="8:14" x14ac:dyDescent="0.45">
      <c r="H23" t="s">
        <v>288</v>
      </c>
      <c r="M23" s="1"/>
    </row>
    <row r="24" spans="8:14" x14ac:dyDescent="0.45">
      <c r="H24" t="s">
        <v>15</v>
      </c>
      <c r="L24" s="1"/>
    </row>
    <row r="25" spans="8:14" x14ac:dyDescent="0.45">
      <c r="H25" t="s">
        <v>342</v>
      </c>
      <c r="L25" s="1"/>
      <c r="M25" s="1"/>
      <c r="N25" s="1"/>
    </row>
    <row r="26" spans="8:14" x14ac:dyDescent="0.45">
      <c r="H26" t="s">
        <v>343</v>
      </c>
      <c r="M26" s="1"/>
    </row>
    <row r="27" spans="8:14" x14ac:dyDescent="0.45">
      <c r="H27" t="s">
        <v>15</v>
      </c>
      <c r="M27" s="1"/>
    </row>
    <row r="28" spans="8:14" x14ac:dyDescent="0.45">
      <c r="H28" t="s">
        <v>14</v>
      </c>
      <c r="M28" s="1"/>
    </row>
    <row r="29" spans="8:14" x14ac:dyDescent="0.45">
      <c r="H29" t="s">
        <v>289</v>
      </c>
      <c r="M29" s="1"/>
    </row>
    <row r="30" spans="8:14" x14ac:dyDescent="0.45">
      <c r="H30" t="s">
        <v>14</v>
      </c>
      <c r="M30" s="1"/>
    </row>
    <row r="31" spans="8:14" x14ac:dyDescent="0.45">
      <c r="H31" t="s">
        <v>18</v>
      </c>
      <c r="L31" s="1"/>
    </row>
    <row r="32" spans="8:14" x14ac:dyDescent="0.45">
      <c r="H32" t="s">
        <v>15</v>
      </c>
      <c r="L32" s="1"/>
      <c r="M32" s="1"/>
      <c r="N32" s="1"/>
    </row>
    <row r="33" spans="1:14" x14ac:dyDescent="0.45">
      <c r="H33" t="s">
        <v>290</v>
      </c>
      <c r="M33" s="1"/>
    </row>
    <row r="34" spans="1:14" x14ac:dyDescent="0.45">
      <c r="H34" t="s">
        <v>291</v>
      </c>
      <c r="M34" s="1"/>
    </row>
    <row r="35" spans="1:14" x14ac:dyDescent="0.45">
      <c r="H35" t="s">
        <v>14</v>
      </c>
      <c r="M35" s="1"/>
    </row>
    <row r="36" spans="1:14" x14ac:dyDescent="0.45">
      <c r="H36" t="s">
        <v>292</v>
      </c>
      <c r="L36" s="1"/>
      <c r="M36" s="1"/>
    </row>
    <row r="37" spans="1:14" x14ac:dyDescent="0.45">
      <c r="H37" t="s">
        <v>14</v>
      </c>
      <c r="M37" s="1"/>
    </row>
    <row r="38" spans="1:14" x14ac:dyDescent="0.45">
      <c r="H38" t="s">
        <v>15</v>
      </c>
      <c r="L38" s="1"/>
    </row>
    <row r="39" spans="1:14" x14ac:dyDescent="0.45">
      <c r="H39" t="s">
        <v>658</v>
      </c>
      <c r="L39" s="1"/>
      <c r="M39" s="1"/>
      <c r="N39" s="1"/>
    </row>
    <row r="40" spans="1:14" s="5" customFormat="1" x14ac:dyDescent="0.45">
      <c r="A40" s="2" t="s">
        <v>1</v>
      </c>
      <c r="B40" s="6" t="str">
        <f>INDEX('PASTE - Match 2'!L:L,MATCH($A40,'PASTE - Match 2'!$A:$A,0))</f>
        <v>Male Name 2</v>
      </c>
      <c r="C40" s="6" t="str">
        <f>INDEX('LU - Names'!$D:$D,MATCH('PASTE - Match 2'!$O$1&amp;B40,'LU - Names'!$A:$A,0))</f>
        <v>Adrian Nelson</v>
      </c>
      <c r="D40" s="6"/>
      <c r="E40" s="9"/>
      <c r="F40" s="9"/>
      <c r="H40" s="5" t="str">
        <f>"\hspace{-17 pt}\textbf{"&amp;$C40&amp;"} \\"</f>
        <v>\hspace{-17 pt}\textbf{Adrian Nelson} \\</v>
      </c>
    </row>
    <row r="41" spans="1:14" x14ac:dyDescent="0.45">
      <c r="H41" t="s">
        <v>665</v>
      </c>
      <c r="M41" s="1"/>
    </row>
    <row r="42" spans="1:14" s="5" customFormat="1" x14ac:dyDescent="0.45">
      <c r="A42" s="2" t="s">
        <v>5</v>
      </c>
      <c r="B42" s="6" t="str">
        <f>INDEX('PASTE - Match 2'!L:L,MATCH($A42,'PASTE - Match 2'!$A:$A,0))</f>
        <v>no pronouns</v>
      </c>
      <c r="C42" s="6"/>
      <c r="D42" s="6"/>
      <c r="E42" s="9"/>
      <c r="F42" s="9"/>
      <c r="H42" s="5" t="str">
        <f>IF(B42="no pronouns","%","{"&amp;B42&amp;"} \ $|$ \ %pronouns")</f>
        <v>%</v>
      </c>
    </row>
    <row r="43" spans="1:14" s="5" customFormat="1" x14ac:dyDescent="0.45">
      <c r="A43" s="2" t="s">
        <v>2</v>
      </c>
      <c r="B43" s="6" t="str">
        <f>'PASTE - Match 2'!$O$1</f>
        <v>Denver, CO</v>
      </c>
      <c r="C43" s="6"/>
      <c r="D43" s="6"/>
      <c r="E43" s="9"/>
      <c r="F43" s="9"/>
      <c r="H43" s="5" t="str">
        <f>"{"&amp;B43&amp;"} \ $|$ \  %location"</f>
        <v>{Denver, CO} \ $|$ \  %location</v>
      </c>
    </row>
    <row r="44" spans="1:14" s="5" customFormat="1" x14ac:dyDescent="0.45">
      <c r="A44" s="2" t="s">
        <v>4</v>
      </c>
      <c r="B44" s="6" t="str">
        <f>INDEX('LU - Emails'!B:B,MATCH(C40,'LU - Emails'!A:A,0))</f>
        <v>adrian.m.nelson@outlook.com</v>
      </c>
      <c r="C44" s="6"/>
      <c r="D44" s="6"/>
      <c r="E44" s="9"/>
      <c r="F44" s="9"/>
      <c r="H44" s="5" t="str">
        <f>"{"&amp;B44&amp;"} \ $|$ \ %email"</f>
        <v>{adrian.m.nelson@outlook.com} \ $|$ \ %email</v>
      </c>
    </row>
    <row r="45" spans="1:14" s="5" customFormat="1" x14ac:dyDescent="0.45">
      <c r="A45" s="2" t="s">
        <v>3</v>
      </c>
      <c r="B45" s="6" t="str">
        <f>INDEX('PASTE - Match 2'!L:L,MATCH($A45,'PASTE - Match 2'!$A:$A,0))</f>
        <v>Phone Number 2</v>
      </c>
      <c r="C45" s="6" t="str">
        <f>INDEX('LU - Phone Numbers'!D:D,MATCH(B43&amp;B45,'LU - Phone Numbers'!A:A,0))</f>
        <v>1-720-738-0456</v>
      </c>
      <c r="D45" s="6"/>
      <c r="E45" s="9"/>
      <c r="F45" s="9"/>
      <c r="H45" s="5" t="str">
        <f>"{("&amp;LEFT(RIGHT(C45,12),3)&amp;")-"&amp;RIGHT(C45,8)&amp;"} %phone"</f>
        <v>{(720)-738-0456} %phone</v>
      </c>
    </row>
    <row r="46" spans="1:14" x14ac:dyDescent="0.45">
      <c r="H46" t="s">
        <v>15</v>
      </c>
      <c r="L46" s="1"/>
      <c r="M46" s="1"/>
      <c r="N46" s="1"/>
    </row>
    <row r="47" spans="1:14" x14ac:dyDescent="0.45">
      <c r="H47" t="s">
        <v>14</v>
      </c>
      <c r="M47" s="1"/>
    </row>
    <row r="48" spans="1:14" x14ac:dyDescent="0.45">
      <c r="H48" t="s">
        <v>294</v>
      </c>
      <c r="M48" s="1"/>
    </row>
    <row r="49" spans="1:13" x14ac:dyDescent="0.45">
      <c r="H49" t="s">
        <v>14</v>
      </c>
      <c r="M49" s="1"/>
    </row>
    <row r="50" spans="1:13" x14ac:dyDescent="0.45">
      <c r="H50" t="str">
        <f>IF(C51=0,"%","\\[0.5cm]")</f>
        <v>%</v>
      </c>
      <c r="M50" s="1"/>
    </row>
    <row r="51" spans="1:13" s="5" customFormat="1" x14ac:dyDescent="0.45">
      <c r="A51" s="2" t="s">
        <v>200</v>
      </c>
      <c r="B51" s="6">
        <f>INDEX('PASTE - Match 2'!K:K,MATCH($A51,'PASTE - Match 2'!$A:$A,0))</f>
        <v>0</v>
      </c>
      <c r="C51" s="6">
        <f>INDEX('PASTE - Match 2'!L:L,MATCH($A51,'PASTE - Match 2'!$A:$A,0))</f>
        <v>0</v>
      </c>
      <c r="D51" s="6">
        <f>INDEX('PASTE - Match 2'!M:M,MATCH($A51,'PASTE - Match 2'!$A:$A,0))</f>
        <v>0</v>
      </c>
      <c r="E51" s="9"/>
      <c r="F51" s="9"/>
      <c r="H51" s="5" t="str">
        <f>IF(C51=0,"%",C51&amp;" %summary")</f>
        <v>%</v>
      </c>
    </row>
    <row r="52" spans="1:13" x14ac:dyDescent="0.45">
      <c r="H52" t="s">
        <v>15</v>
      </c>
      <c r="L52" s="1"/>
    </row>
    <row r="53" spans="1:13" x14ac:dyDescent="0.45">
      <c r="H53" t="s">
        <v>14</v>
      </c>
      <c r="L53" s="1"/>
    </row>
    <row r="54" spans="1:13" x14ac:dyDescent="0.45">
      <c r="H54" t="s">
        <v>19</v>
      </c>
      <c r="L54" s="1"/>
    </row>
    <row r="55" spans="1:13" x14ac:dyDescent="0.45">
      <c r="H55" t="s">
        <v>14</v>
      </c>
      <c r="L55" s="1"/>
    </row>
    <row r="56" spans="1:13" x14ac:dyDescent="0.45">
      <c r="H56" t="s">
        <v>659</v>
      </c>
      <c r="L56" s="1"/>
    </row>
    <row r="57" spans="1:13" x14ac:dyDescent="0.45">
      <c r="H57" t="s">
        <v>658</v>
      </c>
      <c r="L57" s="1"/>
    </row>
    <row r="58" spans="1:13" x14ac:dyDescent="0.45">
      <c r="H58" t="s">
        <v>660</v>
      </c>
      <c r="L58" s="1"/>
    </row>
    <row r="59" spans="1:13" x14ac:dyDescent="0.45">
      <c r="H59" t="s">
        <v>665</v>
      </c>
      <c r="L59" s="1"/>
    </row>
    <row r="60" spans="1:13" x14ac:dyDescent="0.45">
      <c r="H60" t="str">
        <f>IF(ISERROR(B61),"%","\begin{tabularx}{\linewidth}{ @{}l r@{} }")</f>
        <v>\begin{tabularx}{\linewidth}{ @{}l r@{} }</v>
      </c>
      <c r="L60" s="1"/>
    </row>
    <row r="61" spans="1:13" s="5" customFormat="1" x14ac:dyDescent="0.45">
      <c r="A61" s="2" t="s">
        <v>6</v>
      </c>
      <c r="B61" s="6" t="str">
        <f>INDEX('PASTE - Match 2'!E:E,MATCH($A61,'PASTE - Match 2'!$A:$A,0))</f>
        <v>September 2021 - Present</v>
      </c>
      <c r="C61" s="6" t="str">
        <f>INDEX('PASTE - Match 2'!M:M,MATCH($A61,'PASTE - Match 2'!$A:$A,0))</f>
        <v>Certified Nursing Assistant</v>
      </c>
      <c r="D61" s="6" t="str">
        <f>IF(C65="Take deliveries and make bank runs every once in a while","Company E",INDEX('PASTE - Match 2'!N:N,MATCH($A61,'PASTE - Match 2'!$A:$A,0)))</f>
        <v>Company D</v>
      </c>
      <c r="E61" s="9" t="str">
        <f>IF(RIGHT(C61,1)=" ",LEFT(C61,LEN(C61)-1),C61)</f>
        <v>Certified Nursing Assistant</v>
      </c>
      <c r="F61" s="9" t="str">
        <f>IF(AND(E61="Campus Security Officer",ISTEXT($E$152)),$E$152,INDEX(INDEX('LU - Company Names'!$A:$Z,,MATCH('PASTE - Match 2'!$O$1,'LU - Company Names'!$1:$1,0)),MATCH(E61&amp;$D61,'LU - Company Names'!$A:$A,0)))</f>
        <v>Denver Skilled Nursing and Rehabilitation Center</v>
      </c>
      <c r="H61" s="5" t="str">
        <f>IF(ISERROR(B61),"%",B61&amp;" $~~~$  "&amp;F61&amp;", "&amp;E61&amp;"  \\[3.75pt]")</f>
        <v>September 2021 - Present $~~~$  Denver Skilled Nursing and Rehabilitation Center, Certified Nursing Assistant  \\[3.75pt]</v>
      </c>
    </row>
    <row r="62" spans="1:13" x14ac:dyDescent="0.45">
      <c r="H62" t="str">
        <f>IF(ISERROR(B61),"%","\multicolumn{2}{@{}X@{}}{")</f>
        <v>\multicolumn{2}{@{}X@{}}{</v>
      </c>
      <c r="L62" s="1"/>
    </row>
    <row r="63" spans="1:13" x14ac:dyDescent="0.45">
      <c r="H63" t="str">
        <f>IF(ISERROR(B61),"%","\begin{minipage}[t]{\linewidth}")</f>
        <v>\begin{minipage}[t]{\linewidth}</v>
      </c>
      <c r="L63" s="1"/>
    </row>
    <row r="64" spans="1:13" x14ac:dyDescent="0.45">
      <c r="H64" t="str">
        <f>IF(ISERROR(B61),"%","    \begin{itemize}[nosep,after=\strut, leftmargin=1em, itemsep=3pt]")</f>
        <v xml:space="preserve">    \begin{itemize}[nosep,after=\strut, leftmargin=1em, itemsep=3pt]</v>
      </c>
      <c r="L64" s="1" t="s">
        <v>275</v>
      </c>
    </row>
    <row r="65" spans="1:8" s="5" customFormat="1" x14ac:dyDescent="0.45">
      <c r="A65" s="2" t="s">
        <v>23</v>
      </c>
      <c r="B65" s="6">
        <f>INDEX('PASTE - Match 2'!L:L,MATCH($A65,'PASTE - Match 2'!$A:$A,0))</f>
        <v>0</v>
      </c>
      <c r="C65" s="6" t="str">
        <f>INDEX('PASTE - Match 2'!D:D,MATCH($A65,'PASTE - Match 2'!$A:$A,0))</f>
        <v>Answered call lights and supported patient comfort and safety by adjusting bed rails and equipment</v>
      </c>
      <c r="D65" s="6">
        <f>INDEX('PASTE - Match 2'!N:N,MATCH($A65,'PASTE - Match 2'!$A:$A,0))</f>
        <v>0</v>
      </c>
      <c r="E65" s="9"/>
      <c r="F65" s="9"/>
      <c r="H65" s="5" t="str">
        <f>IF(ISERROR(B61),"%","        \item[--] "&amp;C65&amp;" %description")</f>
        <v xml:space="preserve">        \item[--] Answered call lights and supported patient comfort and safety by adjusting bed rails and equipment %description</v>
      </c>
    </row>
    <row r="66" spans="1:8" s="5" customFormat="1" x14ac:dyDescent="0.45">
      <c r="A66" s="2" t="s">
        <v>24</v>
      </c>
      <c r="B66" s="6">
        <f>INDEX('PASTE - Match 2'!L:L,MATCH($A66,'PASTE - Match 2'!$A:$A,0))</f>
        <v>0</v>
      </c>
      <c r="C66" s="6" t="str">
        <f>INDEX('PASTE - Match 2'!D:D,MATCH($A66,'PASTE - Match 2'!$A:$A,0))</f>
        <v>Promoted good oral and personal hygiene by aiding patients with shaving, bathing, and teeth brushing</v>
      </c>
      <c r="D66" s="6">
        <f>INDEX('PASTE - Match 2'!N:N,MATCH($A66,'PASTE - Match 2'!$A:$A,0))</f>
        <v>0</v>
      </c>
      <c r="E66" s="9"/>
      <c r="F66" s="9"/>
      <c r="H66" s="5" t="str">
        <f>IF(ISERROR(B61),"%","        \item[--] "&amp;C66&amp;IF(OR(C67="n/a",C67="n/a ",C67="n/a  ")," \nobreak\vspace{0.5em} %description"," %description"))</f>
        <v xml:space="preserve">        \item[--] Promoted good oral and personal hygiene by aiding patients with shaving, bathing, and teeth brushing %description</v>
      </c>
    </row>
    <row r="67" spans="1:8" s="5" customFormat="1" x14ac:dyDescent="0.45">
      <c r="A67" s="2" t="s">
        <v>25</v>
      </c>
      <c r="B67" s="6">
        <f>INDEX('PASTE - Match 2'!L:L,MATCH($A67,'PASTE - Match 2'!$A:$A,0))</f>
        <v>0</v>
      </c>
      <c r="C67" s="6" t="str">
        <f>INDEX('PASTE - Match 2'!D:D,MATCH($A67,'PASTE - Match 2'!$A:$A,0))</f>
        <v>Checked patient vitals such as temperature, blood pressure and blood sugar levels</v>
      </c>
      <c r="D67" s="6">
        <f>INDEX('PASTE - Match 2'!N:N,MATCH($A67,'PASTE - Match 2'!$A:$A,0))</f>
        <v>0</v>
      </c>
      <c r="E67" s="9"/>
      <c r="F67" s="9"/>
      <c r="H67" s="5" t="str">
        <f>IF(ISERROR(C67),"%",IF(OR(ISERROR(B61),C67="n/a",C67="n/a ",C67="n/a  "),"%","        \item[--] "&amp;C67&amp;IF(OR(C68="n/a",C68="n/a ",C68="n/a  ")," \nobreak\vspace{0.5em} %description"," %description")))</f>
        <v xml:space="preserve">        \item[--] Checked patient vitals such as temperature, blood pressure and blood sugar levels %description</v>
      </c>
    </row>
    <row r="68" spans="1:8" s="5" customFormat="1" x14ac:dyDescent="0.45">
      <c r="A68" s="2" t="s">
        <v>26</v>
      </c>
      <c r="B68" s="6">
        <f>INDEX('PASTE - Match 2'!L:L,MATCH($A68,'PASTE - Match 2'!$A:$A,0))</f>
        <v>0</v>
      </c>
      <c r="C68" s="6" t="str">
        <f>INDEX('PASTE - Match 2'!D:D,MATCH($A68,'PASTE - Match 2'!$A:$A,0))</f>
        <v>Cared for residents in assisted living facility and delivered high-quality support to meet needs</v>
      </c>
      <c r="D68" s="6">
        <f>INDEX('PASTE - Match 2'!N:N,MATCH($A68,'PASTE - Match 2'!$A:$A,0))</f>
        <v>0</v>
      </c>
      <c r="E68" s="9"/>
      <c r="F68" s="9"/>
      <c r="H68" s="5" t="str">
        <f>IF(ISERROR(C68),"%",IF(OR(ISERROR(B61),C68="n/a",C68="n/a ",C68="n/a  "),"%","        \item[--] "&amp;C68&amp;IF(OR(C69="n/a",C69="n/a ",C69="n/a  ")," \nobreak\vspace{0.5em} %description"," %description")))</f>
        <v xml:space="preserve">        \item[--] Cared for residents in assisted living facility and delivered high-quality support to meet needs %description</v>
      </c>
    </row>
    <row r="69" spans="1:8" s="5" customFormat="1" x14ac:dyDescent="0.45">
      <c r="A69" s="2" t="s">
        <v>81</v>
      </c>
      <c r="B69" s="6">
        <f>INDEX('PASTE - Match 2'!L:L,MATCH($A69,'PASTE - Match 2'!$A:$A,0))</f>
        <v>0</v>
      </c>
      <c r="C69" s="6" t="str">
        <f>INDEX('PASTE - Match 2'!D:D,MATCH($A69,'PASTE - Match 2'!$A:$A,0))</f>
        <v>Practiced proper perineal care to provide comfort and skin integrity</v>
      </c>
      <c r="D69" s="6">
        <f>INDEX('PASTE - Match 2'!N:N,MATCH($A69,'PASTE - Match 2'!$A:$A,0))</f>
        <v>0</v>
      </c>
      <c r="E69" s="9"/>
      <c r="F69" s="9"/>
      <c r="H69" s="5" t="str">
        <f>IF(ISERROR(C69),"%",IF(OR(ISERROR(B61),C69="n/a",C69="n/a ",C69="n/a  "),"%","        \item[--] "&amp;C69&amp;" \nobreak\vspace{0.5em} %description"))</f>
        <v xml:space="preserve">        \item[--] Practiced proper perineal care to provide comfort and skin integrity \nobreak\vspace{0.5em} %description</v>
      </c>
    </row>
    <row r="70" spans="1:8" x14ac:dyDescent="0.45">
      <c r="H70" t="str">
        <f>IF(ISERROR(B61),"%","    \end{itemize}")</f>
        <v xml:space="preserve">    \end{itemize}</v>
      </c>
    </row>
    <row r="71" spans="1:8" x14ac:dyDescent="0.45">
      <c r="H71" t="str">
        <f>IF(ISERROR(B61),"%","    \end{minipage}")</f>
        <v xml:space="preserve">    \end{minipage}</v>
      </c>
    </row>
    <row r="72" spans="1:8" x14ac:dyDescent="0.45">
      <c r="H72" t="str">
        <f>IF(ISERROR(B61),"%","}")</f>
        <v>}</v>
      </c>
    </row>
    <row r="73" spans="1:8" x14ac:dyDescent="0.45">
      <c r="H73" t="str">
        <f>IF(ISERROR(B61),"%","\end{tabularx}")</f>
        <v>\end{tabularx}</v>
      </c>
    </row>
    <row r="74" spans="1:8" x14ac:dyDescent="0.45">
      <c r="H74" t="s">
        <v>15</v>
      </c>
    </row>
    <row r="75" spans="1:8" x14ac:dyDescent="0.45">
      <c r="H75" t="str">
        <f>IF(ISERROR(B95),"%","\\[0.25cm]")</f>
        <v>\\[0.25cm]</v>
      </c>
    </row>
    <row r="76" spans="1:8" x14ac:dyDescent="0.45">
      <c r="H76" t="s">
        <v>15</v>
      </c>
    </row>
    <row r="77" spans="1:8" x14ac:dyDescent="0.45">
      <c r="H77" t="str">
        <f>IF(ISERROR(B78),"%","\begin{tabularx}{\linewidth}{ @{}l r@{} }")</f>
        <v>\begin{tabularx}{\linewidth}{ @{}l r@{} }</v>
      </c>
    </row>
    <row r="78" spans="1:8" s="5" customFormat="1" x14ac:dyDescent="0.45">
      <c r="A78" s="2" t="s">
        <v>27</v>
      </c>
      <c r="B78" s="6" t="str">
        <f>INDEX('PASTE - Match 2'!E:E,MATCH($A78,'PASTE - Match 2'!$A:$A,0))</f>
        <v>July 2020 - August 2021</v>
      </c>
      <c r="C78" s="6" t="str">
        <f>INDEX('PASTE - Match 2'!M:M,MATCH($A78,'PASTE - Match 2'!$A:$A,0))</f>
        <v>Host</v>
      </c>
      <c r="D78" s="6" t="str">
        <f>INDEX('PASTE - Match 2'!N:N,MATCH($A78,'PASTE - Match 2'!$A:$A,0))</f>
        <v>Company A</v>
      </c>
      <c r="E78" s="9" t="str">
        <f>IF(RIGHT(C78,1)=" ",LEFT(C78,LEN(C78)-1),C78)</f>
        <v>Host</v>
      </c>
      <c r="F78" s="9" t="str">
        <f>IF(AND(E78="Campus Security Officer",ISTEXT($E$152)),$E$152,INDEX(INDEX('LU - Company Names'!$A:$Z,,MATCH('PASTE - Match 2'!$O$1,'LU - Company Names'!$1:$1,0)),MATCH(E78&amp;$D78,'LU - Company Names'!$A:$A,0)))</f>
        <v>Outback Steakhouse</v>
      </c>
      <c r="H78" s="5" t="str">
        <f>IF(ISERROR(B78),"%",B78&amp;" $~~~$  "&amp;F78&amp;", "&amp;E78&amp;"  \\[3.75pt]")</f>
        <v>July 2020 - August 2021 $~~~$  Outback Steakhouse, Host  \\[3.75pt]</v>
      </c>
    </row>
    <row r="79" spans="1:8" x14ac:dyDescent="0.45">
      <c r="H79" t="str">
        <f>IF(ISERROR(B78),"%","\multicolumn{2}{@{}X@{}}{")</f>
        <v>\multicolumn{2}{@{}X@{}}{</v>
      </c>
    </row>
    <row r="80" spans="1:8" x14ac:dyDescent="0.45">
      <c r="H80" t="str">
        <f>IF(ISERROR(B78),"%","\begin{minipage}[t]{\linewidth}")</f>
        <v>\begin{minipage}[t]{\linewidth}</v>
      </c>
    </row>
    <row r="81" spans="1:8" x14ac:dyDescent="0.45">
      <c r="H81" t="str">
        <f>IF(ISERROR(B78),"%","    \begin{itemize}[nosep,after=\strut, leftmargin=1em, itemsep=3pt]")</f>
        <v xml:space="preserve">    \begin{itemize}[nosep,after=\strut, leftmargin=1em, itemsep=3pt]</v>
      </c>
    </row>
    <row r="82" spans="1:8" s="5" customFormat="1" x14ac:dyDescent="0.45">
      <c r="A82" s="2" t="s">
        <v>28</v>
      </c>
      <c r="B82" s="6">
        <f>INDEX('PASTE - Match 2'!L:L,MATCH($A82,'PASTE - Match 2'!$A:$A,0))</f>
        <v>0</v>
      </c>
      <c r="C82" s="6" t="str">
        <f>INDEX('PASTE - Match 2'!D:D,MATCH($A82,'PASTE - Match 2'!$A:$A,0))</f>
        <v>Responsible for greeting and seating customers, including managing wait lists</v>
      </c>
      <c r="D82" s="6">
        <f>INDEX('PASTE - Match 2'!N:N,MATCH($A82,'PASTE - Match 2'!$A:$A,0))</f>
        <v>0</v>
      </c>
      <c r="E82" s="9"/>
      <c r="F82" s="9"/>
      <c r="H82" s="5" t="str">
        <f>IF(ISERROR(B78),"%","        \item[--] "&amp;C82&amp;" %description")</f>
        <v xml:space="preserve">        \item[--] Responsible for greeting and seating customers, including managing wait lists %description</v>
      </c>
    </row>
    <row r="83" spans="1:8" s="5" customFormat="1" x14ac:dyDescent="0.45">
      <c r="A83" s="2" t="s">
        <v>29</v>
      </c>
      <c r="B83" s="6">
        <f>INDEX('PASTE - Match 2'!L:L,MATCH($A83,'PASTE - Match 2'!$A:$A,0))</f>
        <v>0</v>
      </c>
      <c r="C83" s="6" t="str">
        <f>INDEX('PASTE - Match 2'!D:D,MATCH($A83,'PASTE - Match 2'!$A:$A,0))</f>
        <v>Coordinate with serving staff to ensure a smooth and satisfactory service</v>
      </c>
      <c r="D83" s="6">
        <f>INDEX('PASTE - Match 2'!N:N,MATCH($A83,'PASTE - Match 2'!$A:$A,0))</f>
        <v>0</v>
      </c>
      <c r="E83" s="9"/>
      <c r="F83" s="9"/>
      <c r="H83" s="5" t="str">
        <f>IF(ISERROR(B78),"%","        \item[--] "&amp;C83&amp;IF(OR(C84="n/a",C84="n/a ",C84="n/a  ")," \nobreak\vspace{0.5em} %description"," %description"))</f>
        <v xml:space="preserve">        \item[--] Coordinate with serving staff to ensure a smooth and satisfactory service %description</v>
      </c>
    </row>
    <row r="84" spans="1:8" s="5" customFormat="1" x14ac:dyDescent="0.45">
      <c r="A84" s="2" t="s">
        <v>30</v>
      </c>
      <c r="B84" s="6">
        <f>INDEX('PASTE - Match 2'!L:L,MATCH($A84,'PASTE - Match 2'!$A:$A,0))</f>
        <v>0</v>
      </c>
      <c r="C84" s="6" t="str">
        <f>INDEX('PASTE - Match 2'!D:D,MATCH($A84,'PASTE - Match 2'!$A:$A,0))</f>
        <v>Answered phones, recorded reservations, and resolved customer issues</v>
      </c>
      <c r="D84" s="6">
        <f>INDEX('PASTE - Match 2'!N:N,MATCH($A84,'PASTE - Match 2'!$A:$A,0))</f>
        <v>0</v>
      </c>
      <c r="E84" s="9"/>
      <c r="F84" s="9"/>
      <c r="H84" s="5" t="str">
        <f>IF(ISERROR(C84),"%",IF(OR(ISERROR(B78),C84="n/a",C84="n/a ",C84="n/a  "),"%","        \item[--] "&amp;C84&amp;IF(OR(C85="n/a",C85="n/a ",C85="n/a  ")," \nobreak\vspace{0.5em} %description"," %description")))</f>
        <v xml:space="preserve">        \item[--] Answered phones, recorded reservations, and resolved customer issues \nobreak\vspace{0.5em} %description</v>
      </c>
    </row>
    <row r="85" spans="1:8" s="5" customFormat="1" x14ac:dyDescent="0.45">
      <c r="A85" s="2" t="s">
        <v>31</v>
      </c>
      <c r="B85" s="6">
        <f>INDEX('PASTE - Match 2'!L:L,MATCH($A85,'PASTE - Match 2'!$A:$A,0))</f>
        <v>0</v>
      </c>
      <c r="C85" s="6" t="str">
        <f>INDEX('PASTE - Match 2'!D:D,MATCH($A85,'PASTE - Match 2'!$A:$A,0))</f>
        <v>n/a</v>
      </c>
      <c r="D85" s="6">
        <f>INDEX('PASTE - Match 2'!N:N,MATCH($A85,'PASTE - Match 2'!$A:$A,0))</f>
        <v>0</v>
      </c>
      <c r="E85" s="9"/>
      <c r="F85" s="9"/>
      <c r="H85" s="5" t="str">
        <f>IF(ISERROR(C85),"%",IF(OR(ISERROR(B78),C85="n/a",C85="n/a ",C85="n/a  "),"%","        \item[--] "&amp;C85&amp;IF(OR(C86="n/a",C86="n/a ",C86="n/a  ")," \nobreak\vspace{0.5em} %description"," %description")))</f>
        <v>%</v>
      </c>
    </row>
    <row r="86" spans="1:8" s="5" customFormat="1" x14ac:dyDescent="0.45">
      <c r="A86" s="2" t="s">
        <v>82</v>
      </c>
      <c r="B86" s="6">
        <f>INDEX('PASTE - Match 2'!L:L,MATCH($A86,'PASTE - Match 2'!$A:$A,0))</f>
        <v>0</v>
      </c>
      <c r="C86" s="6" t="str">
        <f>INDEX('PASTE - Match 2'!D:D,MATCH($A86,'PASTE - Match 2'!$A:$A,0))</f>
        <v>n/a</v>
      </c>
      <c r="D86" s="6">
        <f>INDEX('PASTE - Match 2'!N:N,MATCH($A86,'PASTE - Match 2'!$A:$A,0))</f>
        <v>0</v>
      </c>
      <c r="E86" s="9"/>
      <c r="F86" s="9"/>
      <c r="H86" s="5" t="str">
        <f>IF(ISERROR(C86),"%",IF(OR(ISERROR(B78),C86="n/a",C86="n/a ",C86="n/a  "),"%","        \item[--] "&amp;C86&amp;" \nobreak\vspace{0.5em} %description"))</f>
        <v>%</v>
      </c>
    </row>
    <row r="87" spans="1:8" x14ac:dyDescent="0.45">
      <c r="H87" t="str">
        <f>IF(ISERROR(B78),"%","    \end{itemize}")</f>
        <v xml:space="preserve">    \end{itemize}</v>
      </c>
    </row>
    <row r="88" spans="1:8" x14ac:dyDescent="0.45">
      <c r="H88" t="str">
        <f>IF(ISERROR(B78),"%","    \end{minipage}")</f>
        <v xml:space="preserve">    \end{minipage}</v>
      </c>
    </row>
    <row r="89" spans="1:8" x14ac:dyDescent="0.45">
      <c r="H89" t="str">
        <f>IF(ISERROR(B78),"%","}")</f>
        <v>}</v>
      </c>
    </row>
    <row r="90" spans="1:8" x14ac:dyDescent="0.45">
      <c r="H90" t="str">
        <f>IF(ISERROR(B78),"%","\end{tabularx}")</f>
        <v>\end{tabularx}</v>
      </c>
    </row>
    <row r="91" spans="1:8" x14ac:dyDescent="0.45">
      <c r="H91" t="s">
        <v>15</v>
      </c>
    </row>
    <row r="92" spans="1:8" x14ac:dyDescent="0.45">
      <c r="H92" t="str">
        <f>IF(ISERROR(B112),"%","\\[0.25cm]")</f>
        <v>\\[0.25cm]</v>
      </c>
    </row>
    <row r="93" spans="1:8" x14ac:dyDescent="0.45">
      <c r="H93" t="s">
        <v>15</v>
      </c>
    </row>
    <row r="94" spans="1:8" x14ac:dyDescent="0.45">
      <c r="H94" t="str">
        <f>IF(ISERROR(B95),"%","\begin{tabularx}{\linewidth}{ @{}l r@{} }")</f>
        <v>\begin{tabularx}{\linewidth}{ @{}l r@{} }</v>
      </c>
    </row>
    <row r="95" spans="1:8" s="5" customFormat="1" x14ac:dyDescent="0.45">
      <c r="A95" s="2" t="s">
        <v>32</v>
      </c>
      <c r="B95" s="6" t="str">
        <f>INDEX('PASTE - Match 2'!E:E,MATCH($A95,'PASTE - Match 2'!$A:$A,0))</f>
        <v>April 2019 - June 2020</v>
      </c>
      <c r="C95" s="6" t="str">
        <f>INDEX('PASTE - Match 2'!M:M,MATCH($A95,'PASTE - Match 2'!$A:$A,0))</f>
        <v>Delivery Driver</v>
      </c>
      <c r="D95" s="6" t="str">
        <f>INDEX('PASTE - Match 2'!N:N,MATCH($A95,'PASTE - Match 2'!$A:$A,0))</f>
        <v>Company B</v>
      </c>
      <c r="E95" s="9" t="str">
        <f>IF(RIGHT(C95,1)=" ",LEFT(C95,LEN(C95)-1),C95)</f>
        <v>Delivery Driver</v>
      </c>
      <c r="F95" s="9" t="str">
        <f>IF(AND(E95="Campus Security Officer",ISTEXT($E$152)),$E$152,INDEX(INDEX('LU - Company Names'!$A:$Z,,MATCH('PASTE - Match 2'!$O$1,'LU - Company Names'!$1:$1,0)),MATCH(E95&amp;$D95,'LU - Company Names'!$A:$A,0)))</f>
        <v>Domino's</v>
      </c>
      <c r="H95" s="5" t="str">
        <f>IF(ISERROR(B95),"%",B95&amp;" $~~~$  "&amp;F95&amp;", "&amp;E95&amp;"  \\[3.75pt]")</f>
        <v>April 2019 - June 2020 $~~~$  Domino's, Delivery Driver  \\[3.75pt]</v>
      </c>
    </row>
    <row r="96" spans="1:8" x14ac:dyDescent="0.45">
      <c r="H96" t="str">
        <f>IF(ISERROR(B95),"%","\multicolumn{2}{@{}X@{}}{")</f>
        <v>\multicolumn{2}{@{}X@{}}{</v>
      </c>
    </row>
    <row r="97" spans="1:8" x14ac:dyDescent="0.45">
      <c r="H97" t="str">
        <f>IF(ISERROR(B95),"%","\begin{minipage}[t]{\linewidth}")</f>
        <v>\begin{minipage}[t]{\linewidth}</v>
      </c>
    </row>
    <row r="98" spans="1:8" x14ac:dyDescent="0.45">
      <c r="H98" t="str">
        <f>IF(ISERROR(B95),"%","    \begin{itemize}[nosep,after=\strut, leftmargin=1em, itemsep=3pt]")</f>
        <v xml:space="preserve">    \begin{itemize}[nosep,after=\strut, leftmargin=1em, itemsep=3pt]</v>
      </c>
    </row>
    <row r="99" spans="1:8" s="5" customFormat="1" x14ac:dyDescent="0.45">
      <c r="A99" s="2" t="s">
        <v>33</v>
      </c>
      <c r="B99" s="6">
        <f>INDEX('PASTE - Match 2'!L:L,MATCH($A99,'PASTE - Match 2'!$A:$A,0))</f>
        <v>0</v>
      </c>
      <c r="C99" s="6" t="str">
        <f>INDEX('PASTE - Match 2'!D:D,MATCH($A99,'PASTE - Match 2'!$A:$A,0))</f>
        <v xml:space="preserve">Deliver and follow directions to customers house </v>
      </c>
      <c r="D99" s="6">
        <f>INDEX('PASTE - Match 2'!N:N,MATCH($A99,'PASTE - Match 2'!$A:$A,0))</f>
        <v>0</v>
      </c>
      <c r="E99" s="9"/>
      <c r="F99" s="9"/>
      <c r="H99" s="5" t="str">
        <f>IF(ISERROR(B95),"%","        \item[--] "&amp;C99&amp;" %description")</f>
        <v xml:space="preserve">        \item[--] Deliver and follow directions to customers house  %description</v>
      </c>
    </row>
    <row r="100" spans="1:8" s="5" customFormat="1" x14ac:dyDescent="0.45">
      <c r="A100" s="2" t="s">
        <v>34</v>
      </c>
      <c r="B100" s="6">
        <f>INDEX('PASTE - Match 2'!L:L,MATCH($A100,'PASTE - Match 2'!$A:$A,0))</f>
        <v>0</v>
      </c>
      <c r="C100" s="6" t="str">
        <f>INDEX('PASTE - Match 2'!D:D,MATCH($A100,'PASTE - Match 2'!$A:$A,0))</f>
        <v xml:space="preserve">Provide customer service at counter </v>
      </c>
      <c r="D100" s="6">
        <f>INDEX('PASTE - Match 2'!N:N,MATCH($A100,'PASTE - Match 2'!$A:$A,0))</f>
        <v>0</v>
      </c>
      <c r="E100" s="9"/>
      <c r="F100" s="9"/>
      <c r="H100" s="5" t="str">
        <f>IF(ISERROR(B95),"%","        \item[--] "&amp;C100&amp;IF(OR(C101="n/a",C101="n/a ",C101="n/a  ")," \nobreak\vspace{0.5em} %description"," %description"))</f>
        <v xml:space="preserve">        \item[--] Provide customer service at counter  %description</v>
      </c>
    </row>
    <row r="101" spans="1:8" s="5" customFormat="1" x14ac:dyDescent="0.45">
      <c r="A101" s="2" t="s">
        <v>35</v>
      </c>
      <c r="B101" s="6">
        <f>INDEX('PASTE - Match 2'!L:L,MATCH($A101,'PASTE - Match 2'!$A:$A,0))</f>
        <v>0</v>
      </c>
      <c r="C101" s="6" t="str">
        <f>INDEX('PASTE - Match 2'!D:D,MATCH($A101,'PASTE - Match 2'!$A:$A,0))</f>
        <v>Clean up for closing</v>
      </c>
      <c r="D101" s="6">
        <f>INDEX('PASTE - Match 2'!N:N,MATCH($A101,'PASTE - Match 2'!$A:$A,0))</f>
        <v>0</v>
      </c>
      <c r="E101" s="9"/>
      <c r="F101" s="9"/>
      <c r="H101" s="5" t="str">
        <f>IF(ISERROR(C101),"%",IF(OR(ISERROR(B95),C101="n/a",C101="n/a ",C101="n/a  "),"%","        \item[--] "&amp;C101&amp;IF(OR(C102="n/a",C102="n/a ",C102="n/a  ")," \nobreak\vspace{0.5em} %description"," %description")))</f>
        <v xml:space="preserve">        \item[--] Clean up for closing \nobreak\vspace{0.5em} %description</v>
      </c>
    </row>
    <row r="102" spans="1:8" s="5" customFormat="1" x14ac:dyDescent="0.45">
      <c r="A102" s="2" t="s">
        <v>36</v>
      </c>
      <c r="B102" s="6">
        <f>INDEX('PASTE - Match 2'!L:L,MATCH($A102,'PASTE - Match 2'!$A:$A,0))</f>
        <v>0</v>
      </c>
      <c r="C102" s="6" t="str">
        <f>INDEX('PASTE - Match 2'!D:D,MATCH($A102,'PASTE - Match 2'!$A:$A,0))</f>
        <v>n/a</v>
      </c>
      <c r="D102" s="6">
        <f>INDEX('PASTE - Match 2'!N:N,MATCH($A102,'PASTE - Match 2'!$A:$A,0))</f>
        <v>0</v>
      </c>
      <c r="E102" s="9"/>
      <c r="F102" s="9"/>
      <c r="H102" s="5" t="str">
        <f>IF(ISERROR(C102),"%",IF(OR(ISERROR(B95),C102="n/a",C102="n/a ",C102="n/a  "),"%","        \item[--] "&amp;C102&amp;IF(OR(C103="n/a",C103="n/a ",C103="n/a  ")," \nobreak\vspace{0.5em} %description"," %description")))</f>
        <v>%</v>
      </c>
    </row>
    <row r="103" spans="1:8" s="5" customFormat="1" x14ac:dyDescent="0.45">
      <c r="A103" s="2" t="s">
        <v>83</v>
      </c>
      <c r="B103" s="6">
        <f>INDEX('PASTE - Match 2'!L:L,MATCH($A103,'PASTE - Match 2'!$A:$A,0))</f>
        <v>0</v>
      </c>
      <c r="C103" s="6" t="str">
        <f>INDEX('PASTE - Match 2'!D:D,MATCH($A103,'PASTE - Match 2'!$A:$A,0))</f>
        <v>n/a</v>
      </c>
      <c r="D103" s="6">
        <f>INDEX('PASTE - Match 2'!N:N,MATCH($A103,'PASTE - Match 2'!$A:$A,0))</f>
        <v>0</v>
      </c>
      <c r="E103" s="9"/>
      <c r="F103" s="9"/>
      <c r="H103" s="5" t="str">
        <f>IF(ISERROR(C103),"%",IF(OR(ISERROR(B95),C103="n/a",C103="n/a ",C103="n/a  "),"%","        \item[--] "&amp;C103&amp;" \nobreak\vspace{0.5em} %description"))</f>
        <v>%</v>
      </c>
    </row>
    <row r="104" spans="1:8" x14ac:dyDescent="0.45">
      <c r="H104" t="str">
        <f>IF(ISERROR(B95),"%","    \end{itemize}")</f>
        <v xml:space="preserve">    \end{itemize}</v>
      </c>
    </row>
    <row r="105" spans="1:8" x14ac:dyDescent="0.45">
      <c r="H105" t="str">
        <f>IF(ISERROR(B95),"%","    \end{minipage}")</f>
        <v xml:space="preserve">    \end{minipage}</v>
      </c>
    </row>
    <row r="106" spans="1:8" x14ac:dyDescent="0.45">
      <c r="H106" t="str">
        <f>IF(ISERROR(B95),"%","}")</f>
        <v>}</v>
      </c>
    </row>
    <row r="107" spans="1:8" x14ac:dyDescent="0.45">
      <c r="H107" t="str">
        <f>IF(ISERROR(B95),"%","\end{tabularx}")</f>
        <v>\end{tabularx}</v>
      </c>
    </row>
    <row r="108" spans="1:8" x14ac:dyDescent="0.45">
      <c r="H108" t="s">
        <v>15</v>
      </c>
    </row>
    <row r="109" spans="1:8" x14ac:dyDescent="0.45">
      <c r="H109" t="str">
        <f>IF(ISERROR(B112),"%","\\[0.25cm]")</f>
        <v>\\[0.25cm]</v>
      </c>
    </row>
    <row r="110" spans="1:8" x14ac:dyDescent="0.45">
      <c r="H110" t="s">
        <v>15</v>
      </c>
    </row>
    <row r="111" spans="1:8" x14ac:dyDescent="0.45">
      <c r="H111" t="str">
        <f>IF(ISERROR(B112),"%","\begin{tabularx}{\linewidth}{ @{}l r@{} }")</f>
        <v>\begin{tabularx}{\linewidth}{ @{}l r@{} }</v>
      </c>
    </row>
    <row r="112" spans="1:8" s="5" customFormat="1" x14ac:dyDescent="0.45">
      <c r="A112" s="2" t="s">
        <v>37</v>
      </c>
      <c r="B112" s="6" t="str">
        <f>INDEX('PASTE - Match 2'!E:E,MATCH($A112,'PASTE - Match 2'!$A:$A,0))</f>
        <v>August 2017 - March 2019</v>
      </c>
      <c r="C112" s="6" t="str">
        <f>INDEX('PASTE - Match 2'!M:M,MATCH($A112,'PASTE - Match 2'!$A:$A,0))</f>
        <v>Administrative Assistant</v>
      </c>
      <c r="D112" s="6" t="str">
        <f>INDEX('PASTE - Match 2'!N:N,MATCH($A112,'PASTE - Match 2'!$A:$A,0))</f>
        <v>Company A</v>
      </c>
      <c r="E112" s="9" t="str">
        <f>IF(RIGHT(C112,1)=" ",LEFT(C112,LEN(C112)-1),C112)</f>
        <v>Administrative Assistant</v>
      </c>
      <c r="F112" s="9" t="str">
        <f>IF(AND(E112="Campus Security Officer",ISTEXT($E$152)),$E$152,INDEX(INDEX('LU - Company Names'!$A:$Z,,MATCH('PASTE - Match 2'!$O$1,'LU - Company Names'!$1:$1,0)),MATCH(E112&amp;$D112,'LU - Company Names'!$A:$A,0)))</f>
        <v>Denver Arthritis Clinic</v>
      </c>
      <c r="H112" s="5" t="str">
        <f>IF(ISERROR(B112),"%",B112&amp;" $~~~$  "&amp;F112&amp;", "&amp;E112&amp;"  \\[3.75pt]")</f>
        <v>August 2017 - March 2019 $~~~$  Denver Arthritis Clinic, Administrative Assistant  \\[3.75pt]</v>
      </c>
    </row>
    <row r="113" spans="1:8" x14ac:dyDescent="0.45">
      <c r="H113" t="str">
        <f>IF(ISERROR(B112),"%","\multicolumn{2}{@{}X@{}}{")</f>
        <v>\multicolumn{2}{@{}X@{}}{</v>
      </c>
    </row>
    <row r="114" spans="1:8" x14ac:dyDescent="0.45">
      <c r="H114" t="str">
        <f>IF(ISERROR(B112),"%","\begin{minipage}[t]{\linewidth}")</f>
        <v>\begin{minipage}[t]{\linewidth}</v>
      </c>
    </row>
    <row r="115" spans="1:8" x14ac:dyDescent="0.45">
      <c r="H115" t="str">
        <f>IF(ISERROR(B112),"%","    \begin{itemize}[nosep,after=\strut, leftmargin=1em, itemsep=3pt]")</f>
        <v xml:space="preserve">    \begin{itemize}[nosep,after=\strut, leftmargin=1em, itemsep=3pt]</v>
      </c>
    </row>
    <row r="116" spans="1:8" s="5" customFormat="1" x14ac:dyDescent="0.45">
      <c r="A116" s="2" t="s">
        <v>38</v>
      </c>
      <c r="B116" s="6">
        <f>INDEX('PASTE - Match 2'!L:L,MATCH($A116,'PASTE - Match 2'!$A:$A,0))</f>
        <v>0</v>
      </c>
      <c r="C116" s="6" t="str">
        <f>INDEX('PASTE - Match 2'!D:D,MATCH($A116,'PASTE - Match 2'!$A:$A,0))</f>
        <v xml:space="preserve">Serve as direct assistant to Office Manager, supporting all aspects of clerical and administrative needs </v>
      </c>
      <c r="D116" s="6">
        <f>INDEX('PASTE - Match 2'!N:N,MATCH($A116,'PASTE - Match 2'!$A:$A,0))</f>
        <v>0</v>
      </c>
      <c r="E116" s="9"/>
      <c r="F116" s="9"/>
      <c r="H116" s="5" t="str">
        <f>IF(ISERROR(B112),"%","        \item[--] "&amp;C116&amp;" %description")</f>
        <v xml:space="preserve">        \item[--] Serve as direct assistant to Office Manager, supporting all aspects of clerical and administrative needs  %description</v>
      </c>
    </row>
    <row r="117" spans="1:8" s="5" customFormat="1" x14ac:dyDescent="0.45">
      <c r="A117" s="2" t="s">
        <v>39</v>
      </c>
      <c r="B117" s="6">
        <f>INDEX('PASTE - Match 2'!L:L,MATCH($A117,'PASTE - Match 2'!$A:$A,0))</f>
        <v>0</v>
      </c>
      <c r="C117" s="6" t="str">
        <f>INDEX('PASTE - Match 2'!D:D,MATCH($A117,'PASTE - Match 2'!$A:$A,0))</f>
        <v>Alleviate executive overload by handling all patient interactions including walk-ins, email, phone, and fax coordination</v>
      </c>
      <c r="D117" s="6">
        <f>INDEX('PASTE - Match 2'!N:N,MATCH($A117,'PASTE - Match 2'!$A:$A,0))</f>
        <v>0</v>
      </c>
      <c r="E117" s="9"/>
      <c r="F117" s="9"/>
      <c r="H117" s="5" t="str">
        <f>IF(ISERROR(B112),"%","        \item[--] "&amp;C117&amp;IF(OR(C118="n/a",C118="n/a ",C118="n/a  ")," \nobreak\vspace{0.5em} %description"," %description"))</f>
        <v xml:space="preserve">        \item[--] Alleviate executive overload by handling all patient interactions including walk-ins, email, phone, and fax coordination %description</v>
      </c>
    </row>
    <row r="118" spans="1:8" s="5" customFormat="1" x14ac:dyDescent="0.45">
      <c r="A118" s="2" t="s">
        <v>40</v>
      </c>
      <c r="B118" s="6">
        <f>INDEX('PASTE - Match 2'!L:L,MATCH($A118,'PASTE - Match 2'!$A:$A,0))</f>
        <v>0</v>
      </c>
      <c r="C118" s="6" t="str">
        <f>INDEX('PASTE - Match 2'!D:D,MATCH($A118,'PASTE - Match 2'!$A:$A,0))</f>
        <v xml:space="preserve">Screen phone calls, taking messages, assisting callers, and rerouting as needed </v>
      </c>
      <c r="D118" s="6">
        <f>INDEX('PASTE - Match 2'!N:N,MATCH($A118,'PASTE - Match 2'!$A:$A,0))</f>
        <v>0</v>
      </c>
      <c r="E118" s="9"/>
      <c r="F118" s="9"/>
      <c r="H118" s="5" t="str">
        <f>IF(ISERROR(C118),"%",IF(OR(ISERROR(B112),C118="n/a",C118="n/a ",C118="n/a  "),"%","        \item[--] "&amp;C118&amp;IF(OR(C119="n/a",C119="n/a ",C119="n/a  ")," \nobreak\vspace{0.5em} %description"," %description")))</f>
        <v xml:space="preserve">        \item[--] Screen phone calls, taking messages, assisting callers, and rerouting as needed  %description</v>
      </c>
    </row>
    <row r="119" spans="1:8" s="5" customFormat="1" x14ac:dyDescent="0.45">
      <c r="A119" s="2" t="s">
        <v>41</v>
      </c>
      <c r="B119" s="6">
        <f>INDEX('PASTE - Match 2'!L:L,MATCH($A119,'PASTE - Match 2'!$A:$A,0))</f>
        <v>0</v>
      </c>
      <c r="C119" s="6" t="str">
        <f>INDEX('PASTE - Match 2'!D:D,MATCH($A119,'PASTE - Match 2'!$A:$A,0))</f>
        <v>Act as the first step in Billing by collecting accurate demographic and insurance information from patients</v>
      </c>
      <c r="D119" s="6">
        <f>INDEX('PASTE - Match 2'!N:N,MATCH($A119,'PASTE - Match 2'!$A:$A,0))</f>
        <v>0</v>
      </c>
      <c r="E119" s="9"/>
      <c r="F119" s="9"/>
      <c r="H119" s="5" t="str">
        <f>IF(ISERROR(C119),"%",IF(OR(ISERROR(B112),C119="n/a",C119="n/a ",C119="n/a  "),"%","        \item[--] "&amp;C119&amp;IF(OR(C120="n/a",C120="n/a ",C120="n/a  ")," \nobreak\vspace{0.5em} %description"," %description")))</f>
        <v xml:space="preserve">        \item[--] Act as the first step in Billing by collecting accurate demographic and insurance information from patients \nobreak\vspace{0.5em} %description</v>
      </c>
    </row>
    <row r="120" spans="1:8" s="5" customFormat="1" x14ac:dyDescent="0.45">
      <c r="A120" s="2" t="s">
        <v>84</v>
      </c>
      <c r="B120" s="6">
        <f>INDEX('PASTE - Match 2'!L:L,MATCH($A120,'PASTE - Match 2'!$A:$A,0))</f>
        <v>0</v>
      </c>
      <c r="C120" s="6" t="str">
        <f>INDEX('PASTE - Match 2'!D:D,MATCH($A120,'PASTE - Match 2'!$A:$A,0))</f>
        <v>n/a</v>
      </c>
      <c r="D120" s="6">
        <f>INDEX('PASTE - Match 2'!N:N,MATCH($A120,'PASTE - Match 2'!$A:$A,0))</f>
        <v>0</v>
      </c>
      <c r="E120" s="9"/>
      <c r="F120" s="9"/>
      <c r="H120" s="5" t="str">
        <f>IF(ISERROR(C120),"%",IF(OR(ISERROR(B112),C120="n/a",C120="n/a ",C120="n/a  "),"%","        \item[--] "&amp;C120&amp;" \nobreak\vspace{0.5em} %description"))</f>
        <v>%</v>
      </c>
    </row>
    <row r="121" spans="1:8" x14ac:dyDescent="0.45">
      <c r="H121" t="str">
        <f>IF(ISERROR(B112),"%","    \end{itemize}")</f>
        <v xml:space="preserve">    \end{itemize}</v>
      </c>
    </row>
    <row r="122" spans="1:8" x14ac:dyDescent="0.45">
      <c r="H122" t="str">
        <f>IF(ISERROR(B112),"%","    \end{minipage}")</f>
        <v xml:space="preserve">    \end{minipage}</v>
      </c>
    </row>
    <row r="123" spans="1:8" x14ac:dyDescent="0.45">
      <c r="H123" t="str">
        <f>IF(ISERROR(B112),"%","}")</f>
        <v>}</v>
      </c>
    </row>
    <row r="124" spans="1:8" x14ac:dyDescent="0.45">
      <c r="H124" t="str">
        <f>IF(ISERROR(B112),"%","\end{tabularx}")</f>
        <v>\end{tabularx}</v>
      </c>
    </row>
    <row r="125" spans="1:8" x14ac:dyDescent="0.45">
      <c r="H125" t="s">
        <v>15</v>
      </c>
    </row>
    <row r="126" spans="1:8" x14ac:dyDescent="0.45">
      <c r="H126" t="str">
        <f>IF(ISERROR(B130),"%","\\[0.25cm]")</f>
        <v>%</v>
      </c>
    </row>
    <row r="127" spans="1:8" x14ac:dyDescent="0.45">
      <c r="H127" t="s">
        <v>15</v>
      </c>
    </row>
    <row r="128" spans="1:8" x14ac:dyDescent="0.45">
      <c r="H128" t="s">
        <v>15</v>
      </c>
    </row>
    <row r="129" spans="1:8" x14ac:dyDescent="0.45">
      <c r="H129" t="str">
        <f>IF(ISERROR(B130),"%","\begin{tabularx}{\linewidth}{ @{}l r@{} }")</f>
        <v>%</v>
      </c>
    </row>
    <row r="130" spans="1:8" s="5" customFormat="1" x14ac:dyDescent="0.45">
      <c r="A130" s="2" t="s">
        <v>276</v>
      </c>
      <c r="B130" s="6" t="e">
        <f>INDEX('PASTE - Match 2'!E:E,MATCH($A130,'PASTE - Match 2'!$A:$A,0))</f>
        <v>#N/A</v>
      </c>
      <c r="C130" s="6" t="e">
        <f>INDEX('PASTE - Match 2'!M:M,MATCH($A130,'PASTE - Match 2'!$A:$A,0))</f>
        <v>#N/A</v>
      </c>
      <c r="D130" s="6" t="e">
        <f>INDEX('PASTE - Match 2'!N:N,MATCH($A130,'PASTE - Match 2'!$A:$A,0))</f>
        <v>#N/A</v>
      </c>
      <c r="E130" s="9" t="e">
        <f>IF(RIGHT(C130,1)=" ",LEFT(C130,LEN(C130)-1),C130)</f>
        <v>#N/A</v>
      </c>
      <c r="F130" s="9" t="e">
        <f>IF(AND(E130="Campus Security Officer",ISTEXT($E$152)),$E$152,INDEX(INDEX('LU - Company Names'!$A:$Z,,MATCH('PASTE - Match 2'!$O$1,'LU - Company Names'!$1:$1,0)),MATCH(E130&amp;$D130,'LU - Company Names'!$A:$A,0)))</f>
        <v>#N/A</v>
      </c>
      <c r="H130" s="5" t="str">
        <f>IF(ISERROR(B130),"%",B130&amp;" $~~~$  "&amp;F130&amp;", "&amp;E130&amp;"  \\[3.75pt]")</f>
        <v>%</v>
      </c>
    </row>
    <row r="131" spans="1:8" x14ac:dyDescent="0.45">
      <c r="H131" t="str">
        <f>IF(ISERROR(B130),"%","\multicolumn{2}{@{}X@{}}{")</f>
        <v>%</v>
      </c>
    </row>
    <row r="132" spans="1:8" x14ac:dyDescent="0.45">
      <c r="H132" t="str">
        <f>IF(ISERROR(B130),"%","\begin{minipage}[t]{\linewidth}")</f>
        <v>%</v>
      </c>
    </row>
    <row r="133" spans="1:8" x14ac:dyDescent="0.45">
      <c r="H133" t="str">
        <f>IF(ISERROR(B130),"%","    \begin{itemize}[nosep,after=\strut, leftmargin=1em, itemsep=3pt]")</f>
        <v>%</v>
      </c>
    </row>
    <row r="134" spans="1:8" s="5" customFormat="1" x14ac:dyDescent="0.45">
      <c r="A134" s="2" t="s">
        <v>277</v>
      </c>
      <c r="B134" s="6" t="e">
        <f>INDEX('PASTE - Match 2'!L:L,MATCH($A134,'PASTE - Match 2'!$A:$A,0))</f>
        <v>#N/A</v>
      </c>
      <c r="C134" s="6" t="e">
        <f>INDEX('PASTE - Match 2'!D:D,MATCH($A134,'PASTE - Match 2'!$A:$A,0))</f>
        <v>#N/A</v>
      </c>
      <c r="D134" s="6" t="e">
        <f>INDEX('PASTE - Match 2'!N:N,MATCH($A134,'PASTE - Match 2'!$A:$A,0))</f>
        <v>#N/A</v>
      </c>
      <c r="E134" s="9"/>
      <c r="F134" s="9"/>
      <c r="H134" s="5" t="str">
        <f>IF(ISERROR(B130),"%","        \item[--] "&amp;C134&amp;" %description")</f>
        <v>%</v>
      </c>
    </row>
    <row r="135" spans="1:8" s="5" customFormat="1" x14ac:dyDescent="0.45">
      <c r="A135" s="2" t="s">
        <v>278</v>
      </c>
      <c r="B135" s="6" t="e">
        <f>INDEX('PASTE - Match 2'!L:L,MATCH($A135,'PASTE - Match 2'!$A:$A,0))</f>
        <v>#N/A</v>
      </c>
      <c r="C135" s="6" t="e">
        <f>INDEX('PASTE - Match 2'!D:D,MATCH($A135,'PASTE - Match 2'!$A:$A,0))</f>
        <v>#N/A</v>
      </c>
      <c r="D135" s="6" t="e">
        <f>INDEX('PASTE - Match 2'!N:N,MATCH($A135,'PASTE - Match 2'!$A:$A,0))</f>
        <v>#N/A</v>
      </c>
      <c r="E135" s="9"/>
      <c r="F135" s="9"/>
      <c r="H135" s="5" t="str">
        <f>IF(ISERROR(B130),"%","        \item[--] "&amp;C135&amp;IF(OR(C136="n/a",C136="n/a ",C136="n/a  ")," \nobreak\vspace{0.5em} %description"," %description"))</f>
        <v>%</v>
      </c>
    </row>
    <row r="136" spans="1:8" s="5" customFormat="1" x14ac:dyDescent="0.45">
      <c r="A136" s="2" t="s">
        <v>279</v>
      </c>
      <c r="B136" s="6" t="e">
        <f>INDEX('PASTE - Match 2'!L:L,MATCH($A136,'PASTE - Match 2'!$A:$A,0))</f>
        <v>#N/A</v>
      </c>
      <c r="C136" s="6" t="e">
        <f>INDEX('PASTE - Match 2'!D:D,MATCH($A136,'PASTE - Match 2'!$A:$A,0))</f>
        <v>#N/A</v>
      </c>
      <c r="D136" s="6" t="e">
        <f>INDEX('PASTE - Match 2'!N:N,MATCH($A136,'PASTE - Match 2'!$A:$A,0))</f>
        <v>#N/A</v>
      </c>
      <c r="E136" s="9"/>
      <c r="F136" s="9"/>
      <c r="H136" s="5" t="str">
        <f>IF(ISERROR(C136),"%",IF(OR(ISERROR(B130),C136="n/a",C136="n/a ",C136="n/a  "),"%","        \item[--] "&amp;C136&amp;IF(OR(C137="n/a",C137="n/a ",C137="n/a  ")," \nobreak\vspace{0.5em} %description"," %description")))</f>
        <v>%</v>
      </c>
    </row>
    <row r="137" spans="1:8" s="5" customFormat="1" x14ac:dyDescent="0.45">
      <c r="A137" s="2" t="s">
        <v>280</v>
      </c>
      <c r="B137" s="6" t="e">
        <f>INDEX('PASTE - Match 2'!L:L,MATCH($A137,'PASTE - Match 2'!$A:$A,0))</f>
        <v>#N/A</v>
      </c>
      <c r="C137" s="6" t="e">
        <f>INDEX('PASTE - Match 2'!D:D,MATCH($A137,'PASTE - Match 2'!$A:$A,0))</f>
        <v>#N/A</v>
      </c>
      <c r="D137" s="6" t="e">
        <f>INDEX('PASTE - Match 2'!N:N,MATCH($A137,'PASTE - Match 2'!$A:$A,0))</f>
        <v>#N/A</v>
      </c>
      <c r="E137" s="9"/>
      <c r="F137" s="9"/>
      <c r="H137" s="5" t="str">
        <f>IF(ISERROR(C137),"%",IF(OR(ISERROR(B130),C137="n/a",C137="n/a ",C137="n/a  "),"%","        \item[--] "&amp;C137&amp;IF(OR(C138="n/a",C138="n/a ",C138="n/a  ")," \nobreak\vspace{0.5em} %description"," %description")))</f>
        <v>%</v>
      </c>
    </row>
    <row r="138" spans="1:8" s="5" customFormat="1" x14ac:dyDescent="0.45">
      <c r="A138" s="2" t="s">
        <v>281</v>
      </c>
      <c r="B138" s="6" t="e">
        <f>INDEX('PASTE - Match 2'!L:L,MATCH($A138,'PASTE - Match 2'!$A:$A,0))</f>
        <v>#N/A</v>
      </c>
      <c r="C138" s="6" t="e">
        <f>INDEX('PASTE - Match 2'!D:D,MATCH($A138,'PASTE - Match 2'!$A:$A,0))</f>
        <v>#N/A</v>
      </c>
      <c r="D138" s="6" t="e">
        <f>INDEX('PASTE - Match 2'!N:N,MATCH($A138,'PASTE - Match 2'!$A:$A,0))</f>
        <v>#N/A</v>
      </c>
      <c r="E138" s="9"/>
      <c r="F138" s="9"/>
      <c r="H138" s="5" t="str">
        <f>IF(ISERROR(C138),"%",IF(OR(ISERROR(B130),C138="n/a",C138="n/a ",C138="n/a  "),"%","        \item[--] "&amp;C138&amp;" \nobreak\vspace{0.5em} %description"))</f>
        <v>%</v>
      </c>
    </row>
    <row r="139" spans="1:8" x14ac:dyDescent="0.45">
      <c r="H139" t="str">
        <f>IF(ISERROR(B130),"%","    \end{itemize}")</f>
        <v>%</v>
      </c>
    </row>
    <row r="140" spans="1:8" x14ac:dyDescent="0.45">
      <c r="H140" t="str">
        <f>IF(ISERROR(B130),"%","    \end{minipage}")</f>
        <v>%</v>
      </c>
    </row>
    <row r="141" spans="1:8" x14ac:dyDescent="0.45">
      <c r="H141" t="str">
        <f>IF(ISERROR(B130),"%","}")</f>
        <v>%</v>
      </c>
    </row>
    <row r="142" spans="1:8" x14ac:dyDescent="0.45">
      <c r="H142" t="str">
        <f>IF(ISERROR(B130),"%","\end{tabularx}")</f>
        <v>%</v>
      </c>
    </row>
    <row r="143" spans="1:8" x14ac:dyDescent="0.45">
      <c r="H143" t="s">
        <v>15</v>
      </c>
    </row>
    <row r="144" spans="1:8" x14ac:dyDescent="0.45">
      <c r="H144" t="s">
        <v>14</v>
      </c>
    </row>
    <row r="145" spans="1:8" x14ac:dyDescent="0.45">
      <c r="H145" t="s">
        <v>20</v>
      </c>
    </row>
    <row r="146" spans="1:8" x14ac:dyDescent="0.45">
      <c r="H146" t="s">
        <v>14</v>
      </c>
    </row>
    <row r="147" spans="1:8" x14ac:dyDescent="0.45">
      <c r="H147" t="s">
        <v>662</v>
      </c>
    </row>
    <row r="148" spans="1:8" x14ac:dyDescent="0.45">
      <c r="H148" t="s">
        <v>658</v>
      </c>
    </row>
    <row r="149" spans="1:8" x14ac:dyDescent="0.45">
      <c r="H149" t="s">
        <v>661</v>
      </c>
    </row>
    <row r="150" spans="1:8" x14ac:dyDescent="0.45">
      <c r="H150" t="s">
        <v>665</v>
      </c>
    </row>
    <row r="151" spans="1:8" x14ac:dyDescent="0.45">
      <c r="B151" s="6" t="str" cm="1">
        <f t="array" ref="B151">INDEX('PASTE - Match 2'!L:L,MATCH($A152,'PASTE - Match 2'!$A:$A,0)-1)</f>
        <v>Bachelor's Degree</v>
      </c>
      <c r="H151" t="s">
        <v>295</v>
      </c>
    </row>
    <row r="152" spans="1:8" s="5" customFormat="1" x14ac:dyDescent="0.45">
      <c r="A152" s="2" t="s">
        <v>43</v>
      </c>
      <c r="B152" s="6" t="str">
        <f>INDEX('PASTE - Match 2'!L:L,MATCH($A152,'PASTE - Match 2'!$A:$A,0))</f>
        <v>2018-2022</v>
      </c>
      <c r="C152" s="6" t="str">
        <f>INDEX('PASTE - Match 2'!M:M,MATCH($A152,'PASTE - Match 2'!$A:$A,0))</f>
        <v>Psychology</v>
      </c>
      <c r="D152" s="6" t="str">
        <f>INDEX('PASTE - Match 2'!N:N,MATCH($A152,'PASTE - Match 2'!$A:$A,0))</f>
        <v>University A</v>
      </c>
      <c r="E152" s="9" t="str">
        <f>INDEX(INDEX('LU - Schools'!$A:$G,,MATCH('PASTE - Match 2'!$O$1,'LU - Schools'!$1:$1,0)),MATCH(D152,'LU - Schools'!$A:$A,0))</f>
        <v>University of Colorado</v>
      </c>
      <c r="F152" s="9"/>
      <c r="H152" s="5" t="str">
        <f>IF(AND(B152=0,C152=0,D152=0),"%",RIGHT(B152,4)&amp;" $~~~$  "&amp;E152&amp;": "&amp;B151&amp;" in "&amp;C152&amp;"  \\ %post secondary")</f>
        <v>2022 $~~~$  University of Colorado: Bachelor's Degree in Psychology  \\ %post secondary</v>
      </c>
    </row>
    <row r="153" spans="1:8" s="5" customFormat="1" x14ac:dyDescent="0.45">
      <c r="A153" s="2" t="s">
        <v>42</v>
      </c>
      <c r="B153" s="6" t="str">
        <f>INDEX('PASTE - Match 2'!L:L,MATCH($A153,'PASTE - Match 2'!$A:$A,0))</f>
        <v>2013-2017</v>
      </c>
      <c r="C153" s="6" t="str">
        <f>INDEX('PASTE - Match 2'!M:M,MATCH($A153,'PASTE - Match 2'!$A:$A,0))</f>
        <v>High School D</v>
      </c>
      <c r="D153" s="6">
        <f>INDEX('PASTE - Match 2'!N:N,MATCH($A153,'PASTE - Match 2'!$A:$A,0))</f>
        <v>0</v>
      </c>
      <c r="E153" s="9" t="str">
        <f>INDEX(INDEX('LU - Schools'!$A:$G,,MATCH('PASTE - Match 2'!$O$1,'LU - Schools'!$1:$1,0)),MATCH(C153,'LU - Schools'!$A:$A,0))</f>
        <v>Standley Lake High School</v>
      </c>
      <c r="F153" s="9"/>
      <c r="H153" s="5" t="str">
        <f>IF(OR(C153="GED",C153="General Educational Development (GED)"),RIGHT(B153,4)&amp;" $~~~$"&amp;C153&amp;"  %high school",RIGHT(B153,4)&amp;" $~~~$ "&amp;E153&amp;": High School Diploma \\ %high school")</f>
        <v>2017 $~~~$ Standley Lake High School: High School Diploma \\ %high school</v>
      </c>
    </row>
    <row r="154" spans="1:8" x14ac:dyDescent="0.45">
      <c r="H154" t="s">
        <v>293</v>
      </c>
    </row>
    <row r="155" spans="1:8" x14ac:dyDescent="0.45">
      <c r="H155" t="s">
        <v>15</v>
      </c>
    </row>
    <row r="156" spans="1:8" x14ac:dyDescent="0.45">
      <c r="H156" t="s">
        <v>14</v>
      </c>
    </row>
    <row r="157" spans="1:8" x14ac:dyDescent="0.45">
      <c r="H157" t="s">
        <v>51</v>
      </c>
    </row>
    <row r="158" spans="1:8" x14ac:dyDescent="0.45">
      <c r="A158" s="2" t="s">
        <v>44</v>
      </c>
      <c r="B158" s="6" t="str">
        <f>INDEX('PASTE - Match 2'!L:L,MATCH($A158,'PASTE - Match 2'!$A:$A,0))</f>
        <v>Organized and efficient</v>
      </c>
      <c r="C158" s="6">
        <f>INDEX('PASTE - Match 2'!M:M,MATCH($A158,'PASTE - Match 2'!$A:$A,0))</f>
        <v>0</v>
      </c>
      <c r="D158" s="6">
        <f>INDEX('PASTE - Match 2'!N:N,MATCH($A158,'PASTE - Match 2'!$A:$A,0))</f>
        <v>0</v>
      </c>
      <c r="H158" t="s">
        <v>14</v>
      </c>
    </row>
    <row r="159" spans="1:8" x14ac:dyDescent="0.45">
      <c r="A159" s="2" t="s">
        <v>45</v>
      </c>
      <c r="B159" s="6" t="str">
        <f>INDEX('PASTE - Match 2'!L:L,MATCH($A159,'PASTE - Match 2'!$A:$A,0))</f>
        <v>Strong work ethic</v>
      </c>
      <c r="C159" s="6">
        <f>INDEX('PASTE - Match 2'!M:M,MATCH($A159,'PASTE - Match 2'!$A:$A,0))</f>
        <v>0</v>
      </c>
      <c r="D159" s="6">
        <f>INDEX('PASTE - Match 2'!N:N,MATCH($A159,'PASTE - Match 2'!$A:$A,0))</f>
        <v>0</v>
      </c>
      <c r="H159" t="s">
        <v>662</v>
      </c>
    </row>
    <row r="160" spans="1:8" x14ac:dyDescent="0.45">
      <c r="A160" s="2" t="s">
        <v>46</v>
      </c>
      <c r="B160" s="6" t="str">
        <f>INDEX('PASTE - Match 2'!L:L,MATCH($A160,'PASTE - Match 2'!$A:$A,0))</f>
        <v>Medical terminology knowledge</v>
      </c>
      <c r="C160" s="6">
        <f>INDEX('PASTE - Match 2'!M:M,MATCH($A160,'PASTE - Match 2'!$A:$A,0))</f>
        <v>0</v>
      </c>
      <c r="D160" s="6">
        <f>INDEX('PASTE - Match 2'!N:N,MATCH($A160,'PASTE - Match 2'!$A:$A,0))</f>
        <v>0</v>
      </c>
      <c r="H160" t="s">
        <v>658</v>
      </c>
    </row>
    <row r="161" spans="1:8" x14ac:dyDescent="0.45">
      <c r="A161" s="2" t="s">
        <v>47</v>
      </c>
      <c r="B161" s="6" t="str">
        <f>INDEX('PASTE - Match 2'!L:L,MATCH($A161,'PASTE - Match 2'!$A:$A,0))</f>
        <v>Fast learner</v>
      </c>
      <c r="C161" s="6">
        <f>INDEX('PASTE - Match 2'!M:M,MATCH($A161,'PASTE - Match 2'!$A:$A,0))</f>
        <v>0</v>
      </c>
      <c r="D161" s="6">
        <f>INDEX('PASTE - Match 2'!N:N,MATCH($A161,'PASTE - Match 2'!$A:$A,0))</f>
        <v>0</v>
      </c>
      <c r="H161" t="s">
        <v>663</v>
      </c>
    </row>
    <row r="162" spans="1:8" x14ac:dyDescent="0.45">
      <c r="A162" s="2" t="s">
        <v>48</v>
      </c>
      <c r="B162" s="6" t="str">
        <f>INDEX('PASTE - Match 2'!L:L,MATCH($A162,'PASTE - Match 2'!$A:$A,0))</f>
        <v>Clear communicator</v>
      </c>
      <c r="C162" s="6">
        <f>INDEX('PASTE - Match 2'!M:M,MATCH($A162,'PASTE - Match 2'!$A:$A,0))</f>
        <v>0</v>
      </c>
      <c r="D162" s="6">
        <f>INDEX('PASTE - Match 2'!N:N,MATCH($A162,'PASTE - Match 2'!$A:$A,0))</f>
        <v>0</v>
      </c>
      <c r="H162" t="s">
        <v>665</v>
      </c>
    </row>
    <row r="163" spans="1:8" s="5" customFormat="1" x14ac:dyDescent="0.45">
      <c r="A163" s="2" t="s">
        <v>49</v>
      </c>
      <c r="B163" s="6" t="str">
        <f>INDEX('PASTE - Match 2'!L:L,MATCH($A163,'PASTE - Match 2'!$A:$A,0))</f>
        <v>Prioritize patient care and comfort</v>
      </c>
      <c r="C163" s="6">
        <f>INDEX('PASTE - Match 2'!M:M,MATCH($A163,'PASTE - Match 2'!$A:$A,0))</f>
        <v>0</v>
      </c>
      <c r="D163" s="6">
        <f>INDEX('PASTE - Match 2'!N:N,MATCH($A163,'PASTE - Match 2'!$A:$A,0))</f>
        <v>0</v>
      </c>
      <c r="E163" s="9"/>
      <c r="F163" s="9"/>
      <c r="H163" s="5" t="str">
        <f>B158&amp;", "&amp;B159&amp;", "&amp;B160&amp;", "&amp;B161&amp;", "&amp;B162&amp;", "&amp;B163&amp;IF(E165="n/a","",IF(E165=0,""," \\"))</f>
        <v>Organized and efficient, Strong work ethic, Medical terminology knowledge, Fast learner, Clear communicator, Prioritize patient care and comfort \\</v>
      </c>
    </row>
    <row r="164" spans="1:8" s="5" customFormat="1" x14ac:dyDescent="0.45">
      <c r="A164" s="2"/>
      <c r="B164" s="6"/>
      <c r="C164" s="6"/>
      <c r="D164" s="6"/>
      <c r="E164" s="9"/>
      <c r="F164" s="9"/>
      <c r="H164" s="5" t="s">
        <v>15</v>
      </c>
    </row>
    <row r="165" spans="1:8" s="5" customFormat="1" x14ac:dyDescent="0.45">
      <c r="A165" s="2" t="s">
        <v>55</v>
      </c>
      <c r="B165" s="6" t="str">
        <f>INDEX('PASTE - Match 2'!L:L,MATCH($A165,'PASTE - Match 2'!$A:$A,0))</f>
        <v>CNA, CPR</v>
      </c>
      <c r="C165" s="6">
        <f>INDEX('PASTE - Match 2'!M:M,MATCH($A165,'PASTE - Match 2'!$A:$A,0))</f>
        <v>0</v>
      </c>
      <c r="D165" s="6">
        <f>INDEX('PASTE - Match 2'!N:N,MATCH($A165,'PASTE - Match 2'!$A:$A,0))</f>
        <v>0</v>
      </c>
      <c r="E165" s="9" t="str">
        <f>IF(B165="n/a","n/a",IFERROR(INDEX('LU - Certifications'!$A:$G,MATCH($B165,'LU - Certifications'!$A:$A,0),MATCH('PASTE - Match 2'!$O$1,'LU - Certifications'!$1:$1,0)),B165))</f>
        <v>CNA, CPR</v>
      </c>
      <c r="F165" s="9"/>
      <c r="H165" s="5" t="str">
        <f>IF(AND(OR(E165="n/a",E165=0,E165="Certification List",E165="Certification List, Reworded"),C165=0,D165=0),"%","Certifications: "&amp;IF(RIGHT('PASTE - Match 2'!O1,2)="WA",SUBSTITUTE(SUBSTITUTE(E165,"CNA","NAC"),"Certified Nursing Assistant","Nursing Assistant Certified"),E165))</f>
        <v>Certifications: CNA, CPR</v>
      </c>
    </row>
    <row r="166" spans="1:8" x14ac:dyDescent="0.45">
      <c r="H166" t="s">
        <v>15</v>
      </c>
    </row>
    <row r="167" spans="1:8" x14ac:dyDescent="0.45">
      <c r="H167" t="s">
        <v>21</v>
      </c>
    </row>
    <row r="168" spans="1:8" x14ac:dyDescent="0.45">
      <c r="H168" t="s">
        <v>15</v>
      </c>
    </row>
    <row r="169" spans="1:8" x14ac:dyDescent="0.45">
      <c r="H169" t="s">
        <v>14</v>
      </c>
    </row>
    <row r="170" spans="1:8" x14ac:dyDescent="0.45">
      <c r="H170" t="s">
        <v>296</v>
      </c>
    </row>
    <row r="171" spans="1:8" x14ac:dyDescent="0.45">
      <c r="H171" t="s">
        <v>15</v>
      </c>
    </row>
    <row r="172" spans="1:8" x14ac:dyDescent="0.45">
      <c r="H172" t="s">
        <v>297</v>
      </c>
    </row>
    <row r="173" spans="1:8" x14ac:dyDescent="0.45">
      <c r="H173" t="s">
        <v>15</v>
      </c>
    </row>
    <row r="174" spans="1:8" x14ac:dyDescent="0.45">
      <c r="H174" t="s">
        <v>298</v>
      </c>
    </row>
    <row r="175" spans="1:8" x14ac:dyDescent="0.45">
      <c r="H175" t="s">
        <v>15</v>
      </c>
    </row>
    <row r="176" spans="1:8" x14ac:dyDescent="0.45">
      <c r="H176" t="s">
        <v>299</v>
      </c>
    </row>
    <row r="177" spans="8:8" x14ac:dyDescent="0.45">
      <c r="H177" t="s">
        <v>15</v>
      </c>
    </row>
    <row r="178" spans="8:8" x14ac:dyDescent="0.45">
      <c r="H178" t="s">
        <v>14</v>
      </c>
    </row>
  </sheetData>
  <mergeCells count="1">
    <mergeCell ref="H1:N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6BEA5-1EED-4C66-9A31-600E04B17304}">
  <dimension ref="A1:Q326"/>
  <sheetViews>
    <sheetView workbookViewId="0">
      <pane xSplit="4" ySplit="1" topLeftCell="F2" activePane="bottomRight" state="frozen"/>
      <selection pane="topRight" activeCell="E1" sqref="E1"/>
      <selection pane="bottomLeft" activeCell="A2" sqref="A2"/>
      <selection pane="bottomRight" activeCell="G3" sqref="G3"/>
    </sheetView>
  </sheetViews>
  <sheetFormatPr defaultColWidth="8.796875" defaultRowHeight="14.25" outlineLevelCol="1" x14ac:dyDescent="0.45"/>
  <cols>
    <col min="1" max="2" width="30.46484375" style="5" hidden="1" customWidth="1" outlineLevel="1"/>
    <col min="3" max="3" width="26.46484375" customWidth="1" collapsed="1"/>
    <col min="4" max="4" width="12.46484375" customWidth="1"/>
    <col min="5" max="10" width="20.46484375" style="10" customWidth="1"/>
  </cols>
  <sheetData>
    <row r="1" spans="1:12" x14ac:dyDescent="0.45">
      <c r="A1" s="8" t="s">
        <v>71</v>
      </c>
      <c r="B1" s="8" t="s">
        <v>70</v>
      </c>
      <c r="C1" s="7" t="s">
        <v>62</v>
      </c>
      <c r="D1" s="7" t="s">
        <v>63</v>
      </c>
      <c r="E1" s="11" t="s">
        <v>86</v>
      </c>
      <c r="F1" s="11" t="s">
        <v>87</v>
      </c>
      <c r="G1" s="11" t="s">
        <v>88</v>
      </c>
      <c r="H1" s="11" t="s">
        <v>89</v>
      </c>
      <c r="I1" s="11" t="s">
        <v>90</v>
      </c>
      <c r="J1" s="11" t="s">
        <v>91</v>
      </c>
    </row>
    <row r="2" spans="1:12" x14ac:dyDescent="0.45">
      <c r="A2" s="5" t="str">
        <f t="shared" ref="A2:A65" si="0">C2&amp;D2</f>
        <v>ReceptionistCompany A</v>
      </c>
      <c r="B2" s="5" t="str">
        <f t="shared" ref="B2:B65" si="1">C2&amp;" "&amp;D2</f>
        <v>Receptionist Company A</v>
      </c>
      <c r="C2" t="s">
        <v>80</v>
      </c>
      <c r="D2" t="s">
        <v>64</v>
      </c>
      <c r="E2" s="10" t="s">
        <v>202</v>
      </c>
      <c r="F2" s="10" t="s">
        <v>202</v>
      </c>
      <c r="G2" s="10" t="s">
        <v>202</v>
      </c>
      <c r="H2" s="10" t="s">
        <v>202</v>
      </c>
      <c r="I2" s="10" t="s">
        <v>202</v>
      </c>
      <c r="J2" s="10" t="s">
        <v>202</v>
      </c>
    </row>
    <row r="3" spans="1:12" x14ac:dyDescent="0.45">
      <c r="A3" s="5" t="str">
        <f t="shared" si="0"/>
        <v>Front Desk ReceptionistCompany B</v>
      </c>
      <c r="B3" s="5" t="str">
        <f t="shared" si="1"/>
        <v>Front Desk Receptionist Company B</v>
      </c>
      <c r="C3" t="s">
        <v>221</v>
      </c>
      <c r="D3" t="s">
        <v>53</v>
      </c>
      <c r="E3" s="10" t="s">
        <v>95</v>
      </c>
      <c r="F3" s="10" t="s">
        <v>96</v>
      </c>
      <c r="G3" s="10" t="s">
        <v>97</v>
      </c>
      <c r="H3" s="10" t="s">
        <v>980</v>
      </c>
      <c r="I3" s="10" t="s">
        <v>980</v>
      </c>
      <c r="J3" s="10" t="s">
        <v>980</v>
      </c>
    </row>
    <row r="4" spans="1:12" x14ac:dyDescent="0.45">
      <c r="A4" s="5" t="str">
        <f t="shared" si="0"/>
        <v>Medical ReceptionistCompany C</v>
      </c>
      <c r="B4" s="5" t="str">
        <f t="shared" si="1"/>
        <v>Medical Receptionist Company C</v>
      </c>
      <c r="C4" t="s">
        <v>218</v>
      </c>
      <c r="D4" t="s">
        <v>54</v>
      </c>
      <c r="E4" s="10" t="s">
        <v>107</v>
      </c>
      <c r="F4" s="10" t="s">
        <v>108</v>
      </c>
      <c r="G4" s="10" t="s">
        <v>892</v>
      </c>
      <c r="H4" s="10" t="s">
        <v>111</v>
      </c>
      <c r="I4" s="10" t="s">
        <v>109</v>
      </c>
      <c r="J4" s="10" t="s">
        <v>110</v>
      </c>
    </row>
    <row r="5" spans="1:12" x14ac:dyDescent="0.45">
      <c r="A5" s="5" t="str">
        <f t="shared" si="0"/>
        <v>ReceptionistCompany D</v>
      </c>
      <c r="B5" s="5" t="str">
        <f t="shared" si="1"/>
        <v>Receptionist Company D</v>
      </c>
      <c r="C5" t="s">
        <v>80</v>
      </c>
      <c r="D5" t="s">
        <v>65</v>
      </c>
      <c r="E5" s="10" t="s">
        <v>112</v>
      </c>
      <c r="F5" s="10" t="s">
        <v>113</v>
      </c>
      <c r="G5" s="10" t="s">
        <v>114</v>
      </c>
      <c r="H5" s="10" t="s">
        <v>115</v>
      </c>
      <c r="I5" s="10" t="s">
        <v>116</v>
      </c>
      <c r="J5" s="10" t="s">
        <v>117</v>
      </c>
    </row>
    <row r="6" spans="1:12" x14ac:dyDescent="0.45">
      <c r="A6" s="5" t="str">
        <f t="shared" si="0"/>
        <v>ReceptionistCompany E</v>
      </c>
      <c r="B6" s="5" t="str">
        <f t="shared" si="1"/>
        <v>Receptionist Company E</v>
      </c>
      <c r="C6" t="s">
        <v>80</v>
      </c>
      <c r="D6" t="s">
        <v>52</v>
      </c>
      <c r="E6" s="10" t="s">
        <v>93</v>
      </c>
      <c r="F6" s="10" t="s">
        <v>93</v>
      </c>
      <c r="G6" s="10" t="s">
        <v>93</v>
      </c>
      <c r="H6" s="10" t="s">
        <v>93</v>
      </c>
      <c r="I6" s="10" t="s">
        <v>93</v>
      </c>
      <c r="J6" s="10" t="s">
        <v>93</v>
      </c>
    </row>
    <row r="7" spans="1:12" x14ac:dyDescent="0.45">
      <c r="A7" s="5" t="str">
        <f t="shared" si="0"/>
        <v>Front Desk ReceptionistCompany F</v>
      </c>
      <c r="B7" s="5" t="str">
        <f t="shared" si="1"/>
        <v>Front Desk Receptionist Company F</v>
      </c>
      <c r="C7" t="s">
        <v>221</v>
      </c>
      <c r="D7" t="s">
        <v>66</v>
      </c>
      <c r="E7" s="10" t="s">
        <v>94</v>
      </c>
      <c r="F7" s="10" t="s">
        <v>94</v>
      </c>
      <c r="G7" s="10" t="s">
        <v>94</v>
      </c>
      <c r="H7" s="10" t="s">
        <v>94</v>
      </c>
      <c r="I7" s="10" t="s">
        <v>94</v>
      </c>
      <c r="J7" s="10" t="s">
        <v>94</v>
      </c>
    </row>
    <row r="8" spans="1:12" x14ac:dyDescent="0.45">
      <c r="A8" s="5" t="str">
        <f t="shared" si="0"/>
        <v>Medical ReceptionistCompany G</v>
      </c>
      <c r="B8" s="5" t="str">
        <f t="shared" si="1"/>
        <v>Medical Receptionist Company G</v>
      </c>
      <c r="C8" t="s">
        <v>218</v>
      </c>
      <c r="D8" t="s">
        <v>67</v>
      </c>
      <c r="E8" s="10" t="s">
        <v>98</v>
      </c>
      <c r="F8" s="10" t="s">
        <v>99</v>
      </c>
      <c r="G8" s="10" t="s">
        <v>893</v>
      </c>
      <c r="H8" s="10" t="s">
        <v>102</v>
      </c>
      <c r="I8" s="10" t="s">
        <v>100</v>
      </c>
      <c r="J8" s="10" t="s">
        <v>101</v>
      </c>
      <c r="K8" s="10"/>
      <c r="L8" s="10"/>
    </row>
    <row r="9" spans="1:12" x14ac:dyDescent="0.45">
      <c r="A9" s="5" t="str">
        <f t="shared" si="0"/>
        <v>Dental ReceptionistCompany H</v>
      </c>
      <c r="B9" s="5" t="str">
        <f t="shared" si="1"/>
        <v>Dental Receptionist Company H</v>
      </c>
      <c r="C9" t="s">
        <v>219</v>
      </c>
      <c r="D9" t="s">
        <v>68</v>
      </c>
      <c r="E9" s="10" t="s">
        <v>103</v>
      </c>
      <c r="F9" s="10" t="s">
        <v>104</v>
      </c>
      <c r="G9" s="10" t="s">
        <v>105</v>
      </c>
      <c r="H9" s="10" t="s">
        <v>105</v>
      </c>
      <c r="I9" s="10" t="s">
        <v>912</v>
      </c>
      <c r="J9" s="10" t="s">
        <v>981</v>
      </c>
    </row>
    <row r="10" spans="1:12" s="21" customFormat="1" x14ac:dyDescent="0.45">
      <c r="A10" s="20" t="str">
        <f t="shared" si="0"/>
        <v>Dental ReceptionistCompany I</v>
      </c>
      <c r="B10" s="20" t="str">
        <f t="shared" si="1"/>
        <v>Dental Receptionist Company I</v>
      </c>
      <c r="C10" s="21" t="s">
        <v>219</v>
      </c>
      <c r="D10" s="21" t="s">
        <v>69</v>
      </c>
      <c r="E10" s="21" t="s">
        <v>231</v>
      </c>
      <c r="F10" s="21" t="s">
        <v>230</v>
      </c>
      <c r="G10" s="21" t="s">
        <v>229</v>
      </c>
      <c r="H10" s="21" t="s">
        <v>228</v>
      </c>
      <c r="I10" s="21" t="s">
        <v>227</v>
      </c>
      <c r="J10" s="21" t="s">
        <v>226</v>
      </c>
    </row>
    <row r="11" spans="1:12" s="21" customFormat="1" x14ac:dyDescent="0.45">
      <c r="A11" s="20" t="str">
        <f t="shared" si="0"/>
        <v>Veterinary ReceptionistCompany J</v>
      </c>
      <c r="B11" s="20" t="str">
        <f t="shared" si="1"/>
        <v>Veterinary Receptionist Company J</v>
      </c>
      <c r="C11" s="21" t="s">
        <v>220</v>
      </c>
      <c r="D11" s="21" t="s">
        <v>92</v>
      </c>
      <c r="E11" s="21" t="s">
        <v>119</v>
      </c>
      <c r="F11" s="21" t="s">
        <v>120</v>
      </c>
      <c r="G11" s="21" t="s">
        <v>121</v>
      </c>
      <c r="H11" s="21" t="s">
        <v>122</v>
      </c>
      <c r="I11" s="21" t="s">
        <v>123</v>
      </c>
      <c r="J11" s="21" t="s">
        <v>124</v>
      </c>
    </row>
    <row r="12" spans="1:12" x14ac:dyDescent="0.45">
      <c r="A12" s="5" t="str">
        <f t="shared" si="0"/>
        <v>ReceptionistCompany K</v>
      </c>
      <c r="B12" s="5" t="str">
        <f t="shared" si="1"/>
        <v>Receptionist Company K</v>
      </c>
      <c r="C12" t="s">
        <v>80</v>
      </c>
      <c r="D12" t="s">
        <v>204</v>
      </c>
      <c r="E12" s="10" t="s">
        <v>118</v>
      </c>
      <c r="F12" s="10" t="s">
        <v>118</v>
      </c>
      <c r="G12" s="10" t="s">
        <v>118</v>
      </c>
      <c r="H12" s="10" t="s">
        <v>118</v>
      </c>
      <c r="I12" s="10" t="s">
        <v>118</v>
      </c>
      <c r="J12" s="10" t="s">
        <v>118</v>
      </c>
    </row>
    <row r="13" spans="1:12" x14ac:dyDescent="0.45">
      <c r="A13" s="5" t="str">
        <f t="shared" si="0"/>
        <v>ReceptionistCompany L</v>
      </c>
      <c r="B13" s="5" t="str">
        <f t="shared" si="1"/>
        <v>Receptionist Company L</v>
      </c>
      <c r="C13" t="s">
        <v>80</v>
      </c>
      <c r="D13" t="s">
        <v>205</v>
      </c>
      <c r="E13" s="10" t="s">
        <v>235</v>
      </c>
      <c r="F13" s="10" t="s">
        <v>222</v>
      </c>
      <c r="G13" s="10" t="s">
        <v>232</v>
      </c>
      <c r="H13" s="10" t="s">
        <v>223</v>
      </c>
      <c r="I13" s="10" t="s">
        <v>224</v>
      </c>
      <c r="J13" s="10" t="s">
        <v>225</v>
      </c>
      <c r="L13" s="10" t="s">
        <v>233</v>
      </c>
    </row>
    <row r="14" spans="1:12" x14ac:dyDescent="0.45">
      <c r="A14" s="5" t="str">
        <f t="shared" si="0"/>
        <v/>
      </c>
      <c r="B14" s="5" t="str">
        <f t="shared" si="1"/>
        <v xml:space="preserve"> </v>
      </c>
      <c r="L14" s="10"/>
    </row>
    <row r="15" spans="1:12" x14ac:dyDescent="0.45">
      <c r="A15" s="5" t="str">
        <f t="shared" si="0"/>
        <v>ReceptionistCompany B</v>
      </c>
      <c r="B15" s="5" t="str">
        <f t="shared" si="1"/>
        <v>Receptionist Company B</v>
      </c>
      <c r="C15" s="21" t="s">
        <v>80</v>
      </c>
      <c r="D15" s="21" t="s">
        <v>53</v>
      </c>
      <c r="E15" s="21" t="s">
        <v>95</v>
      </c>
      <c r="F15" s="21" t="s">
        <v>96</v>
      </c>
      <c r="G15" s="21" t="s">
        <v>97</v>
      </c>
      <c r="H15" s="21" t="s">
        <v>980</v>
      </c>
      <c r="I15" s="21" t="s">
        <v>980</v>
      </c>
      <c r="J15" s="21" t="s">
        <v>980</v>
      </c>
      <c r="K15" s="21" t="s">
        <v>666</v>
      </c>
    </row>
    <row r="16" spans="1:12" x14ac:dyDescent="0.45">
      <c r="A16" s="5" t="str">
        <f t="shared" si="0"/>
        <v>ReceptionistCompany C</v>
      </c>
      <c r="B16" s="5" t="str">
        <f t="shared" si="1"/>
        <v>Receptionist Company C</v>
      </c>
      <c r="C16" s="21" t="s">
        <v>80</v>
      </c>
      <c r="D16" s="21" t="s">
        <v>54</v>
      </c>
      <c r="E16" s="21" t="s">
        <v>107</v>
      </c>
      <c r="F16" s="21" t="s">
        <v>108</v>
      </c>
      <c r="G16" s="21" t="s">
        <v>109</v>
      </c>
      <c r="H16" s="21" t="s">
        <v>110</v>
      </c>
      <c r="I16" s="21" t="s">
        <v>892</v>
      </c>
      <c r="J16" s="21" t="s">
        <v>111</v>
      </c>
    </row>
    <row r="17" spans="1:11" x14ac:dyDescent="0.45">
      <c r="A17" s="5" t="str">
        <f t="shared" si="0"/>
        <v>ReceptionistCompany F</v>
      </c>
      <c r="B17" s="5" t="str">
        <f t="shared" si="1"/>
        <v>Receptionist Company F</v>
      </c>
      <c r="C17" s="21" t="s">
        <v>80</v>
      </c>
      <c r="D17" s="21" t="s">
        <v>66</v>
      </c>
      <c r="E17" s="21" t="s">
        <v>94</v>
      </c>
      <c r="F17" s="21" t="s">
        <v>94</v>
      </c>
      <c r="G17" s="21" t="s">
        <v>94</v>
      </c>
      <c r="H17" s="21" t="s">
        <v>94</v>
      </c>
      <c r="I17" s="21" t="s">
        <v>94</v>
      </c>
      <c r="J17" s="21" t="s">
        <v>94</v>
      </c>
    </row>
    <row r="18" spans="1:11" x14ac:dyDescent="0.45">
      <c r="A18" s="5" t="str">
        <f t="shared" si="0"/>
        <v>ReceptionistCompany G</v>
      </c>
      <c r="B18" s="5" t="str">
        <f t="shared" si="1"/>
        <v>Receptionist Company G</v>
      </c>
      <c r="C18" s="21" t="s">
        <v>80</v>
      </c>
      <c r="D18" s="21" t="s">
        <v>67</v>
      </c>
      <c r="E18" s="21" t="s">
        <v>98</v>
      </c>
      <c r="F18" s="21" t="s">
        <v>99</v>
      </c>
      <c r="G18" s="21" t="s">
        <v>100</v>
      </c>
      <c r="H18" s="21" t="s">
        <v>101</v>
      </c>
      <c r="I18" s="21" t="s">
        <v>893</v>
      </c>
      <c r="J18" s="21" t="s">
        <v>102</v>
      </c>
    </row>
    <row r="19" spans="1:11" x14ac:dyDescent="0.45">
      <c r="A19" s="5" t="str">
        <f t="shared" si="0"/>
        <v>ReceptionistCompany H</v>
      </c>
      <c r="B19" s="5" t="str">
        <f t="shared" si="1"/>
        <v>Receptionist Company H</v>
      </c>
      <c r="C19" s="21" t="s">
        <v>80</v>
      </c>
      <c r="D19" s="21" t="s">
        <v>68</v>
      </c>
      <c r="E19" s="21" t="s">
        <v>103</v>
      </c>
      <c r="F19" s="21" t="s">
        <v>104</v>
      </c>
      <c r="G19" s="21" t="s">
        <v>105</v>
      </c>
      <c r="H19" s="21" t="s">
        <v>105</v>
      </c>
      <c r="I19" s="21" t="s">
        <v>912</v>
      </c>
      <c r="J19" s="21" t="s">
        <v>106</v>
      </c>
    </row>
    <row r="20" spans="1:11" s="21" customFormat="1" x14ac:dyDescent="0.45">
      <c r="A20" s="20" t="str">
        <f t="shared" si="0"/>
        <v>ReceptionistCompany I</v>
      </c>
      <c r="B20" s="20" t="str">
        <f t="shared" si="1"/>
        <v>Receptionist Company I</v>
      </c>
      <c r="C20" s="21" t="s">
        <v>80</v>
      </c>
      <c r="D20" s="21" t="s">
        <v>69</v>
      </c>
      <c r="E20" s="21" t="s">
        <v>231</v>
      </c>
      <c r="F20" s="21" t="s">
        <v>230</v>
      </c>
      <c r="G20" s="21" t="s">
        <v>229</v>
      </c>
      <c r="H20" s="21" t="s">
        <v>228</v>
      </c>
      <c r="I20" s="21" t="s">
        <v>227</v>
      </c>
      <c r="J20" s="21" t="s">
        <v>226</v>
      </c>
    </row>
    <row r="21" spans="1:11" s="21" customFormat="1" x14ac:dyDescent="0.45">
      <c r="A21" s="20" t="str">
        <f t="shared" si="0"/>
        <v>ReceptionistCompany J</v>
      </c>
      <c r="B21" s="20" t="str">
        <f t="shared" si="1"/>
        <v>Receptionist Company J</v>
      </c>
      <c r="C21" s="21" t="s">
        <v>80</v>
      </c>
      <c r="D21" s="21" t="s">
        <v>92</v>
      </c>
      <c r="E21" s="21" t="s">
        <v>119</v>
      </c>
      <c r="F21" s="21" t="s">
        <v>120</v>
      </c>
      <c r="G21" s="21" t="s">
        <v>121</v>
      </c>
      <c r="H21" s="21" t="s">
        <v>122</v>
      </c>
      <c r="I21" s="21" t="s">
        <v>123</v>
      </c>
      <c r="J21" s="21" t="s">
        <v>124</v>
      </c>
    </row>
    <row r="22" spans="1:11" x14ac:dyDescent="0.45">
      <c r="A22" s="5" t="str">
        <f t="shared" si="0"/>
        <v/>
      </c>
      <c r="B22" s="5" t="str">
        <f t="shared" si="1"/>
        <v xml:space="preserve"> </v>
      </c>
    </row>
    <row r="23" spans="1:11" x14ac:dyDescent="0.45">
      <c r="A23" s="5" t="str">
        <f t="shared" si="0"/>
        <v>Front Desk ReceptionistCompany A</v>
      </c>
      <c r="B23" s="5" t="str">
        <f t="shared" si="1"/>
        <v>Front Desk Receptionist Company A</v>
      </c>
      <c r="C23" s="21" t="s">
        <v>221</v>
      </c>
      <c r="D23" s="21" t="s">
        <v>64</v>
      </c>
      <c r="E23" s="21" t="s">
        <v>202</v>
      </c>
      <c r="F23" s="21" t="s">
        <v>202</v>
      </c>
      <c r="G23" s="21" t="s">
        <v>202</v>
      </c>
      <c r="H23" s="21" t="s">
        <v>202</v>
      </c>
      <c r="I23" s="21" t="s">
        <v>202</v>
      </c>
      <c r="J23" s="21" t="s">
        <v>202</v>
      </c>
      <c r="K23" s="21" t="s">
        <v>666</v>
      </c>
    </row>
    <row r="24" spans="1:11" x14ac:dyDescent="0.45">
      <c r="A24" s="5" t="str">
        <f t="shared" si="0"/>
        <v>Front Desk ReceptionistCompany D</v>
      </c>
      <c r="B24" s="5" t="str">
        <f t="shared" si="1"/>
        <v>Front Desk Receptionist Company D</v>
      </c>
      <c r="C24" s="21" t="s">
        <v>221</v>
      </c>
      <c r="D24" s="21" t="s">
        <v>65</v>
      </c>
      <c r="E24" s="21" t="s">
        <v>112</v>
      </c>
      <c r="F24" s="21" t="s">
        <v>113</v>
      </c>
      <c r="G24" s="21" t="s">
        <v>114</v>
      </c>
      <c r="H24" s="21" t="s">
        <v>115</v>
      </c>
      <c r="I24" s="21" t="s">
        <v>116</v>
      </c>
      <c r="J24" s="21" t="s">
        <v>117</v>
      </c>
    </row>
    <row r="25" spans="1:11" x14ac:dyDescent="0.45">
      <c r="A25" s="5" t="str">
        <f t="shared" si="0"/>
        <v>Front Desk ReceptionistCompany E</v>
      </c>
      <c r="B25" s="5" t="str">
        <f t="shared" si="1"/>
        <v>Front Desk Receptionist Company E</v>
      </c>
      <c r="C25" s="21" t="s">
        <v>221</v>
      </c>
      <c r="D25" s="21" t="s">
        <v>52</v>
      </c>
      <c r="E25" s="21" t="s">
        <v>93</v>
      </c>
      <c r="F25" s="21" t="s">
        <v>93</v>
      </c>
      <c r="G25" s="21" t="s">
        <v>93</v>
      </c>
      <c r="H25" s="21" t="s">
        <v>93</v>
      </c>
      <c r="I25" s="21" t="s">
        <v>93</v>
      </c>
      <c r="J25" s="21" t="s">
        <v>93</v>
      </c>
    </row>
    <row r="26" spans="1:11" x14ac:dyDescent="0.45">
      <c r="A26" s="5" t="str">
        <f t="shared" si="0"/>
        <v>Front Desk ReceptionistCompany K</v>
      </c>
      <c r="B26" s="5" t="str">
        <f t="shared" si="1"/>
        <v>Front Desk Receptionist Company K</v>
      </c>
      <c r="C26" s="21" t="s">
        <v>221</v>
      </c>
      <c r="D26" s="21" t="s">
        <v>204</v>
      </c>
      <c r="E26" s="21" t="s">
        <v>118</v>
      </c>
      <c r="F26" s="21" t="s">
        <v>118</v>
      </c>
      <c r="G26" s="21" t="s">
        <v>118</v>
      </c>
      <c r="H26" s="21" t="s">
        <v>118</v>
      </c>
      <c r="I26" s="21" t="s">
        <v>118</v>
      </c>
      <c r="J26" s="21" t="s">
        <v>118</v>
      </c>
    </row>
    <row r="27" spans="1:11" x14ac:dyDescent="0.45">
      <c r="A27" s="5" t="str">
        <f t="shared" si="0"/>
        <v>Front Desk ReceptionistCompany L</v>
      </c>
      <c r="B27" s="5" t="str">
        <f t="shared" si="1"/>
        <v>Front Desk Receptionist Company L</v>
      </c>
      <c r="C27" s="21" t="s">
        <v>221</v>
      </c>
      <c r="D27" s="21" t="s">
        <v>205</v>
      </c>
      <c r="E27" s="21" t="s">
        <v>235</v>
      </c>
      <c r="F27" s="21" t="s">
        <v>222</v>
      </c>
      <c r="G27" s="21" t="s">
        <v>232</v>
      </c>
      <c r="H27" s="21" t="s">
        <v>223</v>
      </c>
      <c r="I27" s="21" t="s">
        <v>224</v>
      </c>
      <c r="J27" s="21" t="s">
        <v>225</v>
      </c>
    </row>
    <row r="28" spans="1:11" x14ac:dyDescent="0.45">
      <c r="A28" s="5" t="str">
        <f t="shared" si="0"/>
        <v/>
      </c>
      <c r="B28" s="5" t="str">
        <f t="shared" si="1"/>
        <v xml:space="preserve"> </v>
      </c>
    </row>
    <row r="29" spans="1:11" x14ac:dyDescent="0.45">
      <c r="A29" s="5" t="str">
        <f t="shared" si="0"/>
        <v>CashierCompany A</v>
      </c>
      <c r="B29" s="5" t="str">
        <f t="shared" si="1"/>
        <v>Cashier Company A</v>
      </c>
      <c r="C29" t="s">
        <v>50</v>
      </c>
      <c r="D29" t="s">
        <v>64</v>
      </c>
      <c r="E29" s="10" t="s">
        <v>60</v>
      </c>
      <c r="F29" s="10" t="s">
        <v>60</v>
      </c>
      <c r="G29" s="10" t="s">
        <v>60</v>
      </c>
      <c r="H29" s="10" t="s">
        <v>60</v>
      </c>
      <c r="I29" s="10" t="s">
        <v>60</v>
      </c>
      <c r="J29" s="10" t="s">
        <v>60</v>
      </c>
    </row>
    <row r="30" spans="1:11" x14ac:dyDescent="0.45">
      <c r="A30" s="5" t="str">
        <f t="shared" si="0"/>
        <v>CashierCompany B</v>
      </c>
      <c r="B30" s="5" t="str">
        <f t="shared" si="1"/>
        <v>Cashier Company B</v>
      </c>
      <c r="C30" t="s">
        <v>50</v>
      </c>
      <c r="D30" t="s">
        <v>53</v>
      </c>
      <c r="E30" s="10" t="s">
        <v>57</v>
      </c>
      <c r="F30" s="10" t="s">
        <v>57</v>
      </c>
      <c r="G30" s="10" t="s">
        <v>57</v>
      </c>
      <c r="H30" s="10" t="s">
        <v>57</v>
      </c>
      <c r="I30" s="10" t="s">
        <v>57</v>
      </c>
      <c r="J30" s="10" t="s">
        <v>57</v>
      </c>
    </row>
    <row r="31" spans="1:11" x14ac:dyDescent="0.45">
      <c r="A31" s="5" t="str">
        <f t="shared" si="0"/>
        <v>CashierCompany C</v>
      </c>
      <c r="B31" s="5" t="str">
        <f t="shared" si="1"/>
        <v>Cashier Company C</v>
      </c>
      <c r="C31" t="s">
        <v>50</v>
      </c>
      <c r="D31" t="s">
        <v>54</v>
      </c>
      <c r="E31" s="10" t="s">
        <v>145</v>
      </c>
      <c r="F31" s="10" t="s">
        <v>145</v>
      </c>
      <c r="G31" s="10" t="s">
        <v>145</v>
      </c>
      <c r="H31" s="10" t="s">
        <v>145</v>
      </c>
      <c r="I31" s="10" t="s">
        <v>146</v>
      </c>
      <c r="J31" s="10" t="s">
        <v>146</v>
      </c>
    </row>
    <row r="32" spans="1:11" x14ac:dyDescent="0.45">
      <c r="A32" s="5" t="str">
        <f t="shared" si="0"/>
        <v>CashierCompany D</v>
      </c>
      <c r="B32" s="5" t="str">
        <f t="shared" si="1"/>
        <v>Cashier Company D</v>
      </c>
      <c r="C32" t="s">
        <v>50</v>
      </c>
      <c r="D32" t="s">
        <v>65</v>
      </c>
      <c r="E32" s="10" t="s">
        <v>59</v>
      </c>
      <c r="F32" s="10" t="s">
        <v>59</v>
      </c>
      <c r="G32" s="10" t="s">
        <v>59</v>
      </c>
      <c r="H32" s="10" t="s">
        <v>59</v>
      </c>
      <c r="I32" s="10" t="s">
        <v>59</v>
      </c>
      <c r="J32" s="10" t="s">
        <v>59</v>
      </c>
    </row>
    <row r="33" spans="1:10" x14ac:dyDescent="0.45">
      <c r="A33" s="5" t="str">
        <f t="shared" si="0"/>
        <v>CashierCompany E</v>
      </c>
      <c r="B33" s="5" t="str">
        <f t="shared" si="1"/>
        <v>Cashier Company E</v>
      </c>
      <c r="C33" t="s">
        <v>50</v>
      </c>
      <c r="D33" t="s">
        <v>52</v>
      </c>
      <c r="E33" s="10" t="s">
        <v>147</v>
      </c>
      <c r="F33" s="10" t="s">
        <v>147</v>
      </c>
      <c r="G33" s="10" t="s">
        <v>147</v>
      </c>
      <c r="H33" s="10" t="s">
        <v>147</v>
      </c>
      <c r="I33" s="10" t="s">
        <v>147</v>
      </c>
      <c r="J33" s="10" t="s">
        <v>147</v>
      </c>
    </row>
    <row r="34" spans="1:10" x14ac:dyDescent="0.45">
      <c r="A34" s="5" t="str">
        <f t="shared" si="0"/>
        <v>CashierCompany F</v>
      </c>
      <c r="B34" s="5" t="str">
        <f t="shared" si="1"/>
        <v>Cashier Company F</v>
      </c>
      <c r="C34" t="s">
        <v>50</v>
      </c>
      <c r="D34" t="s">
        <v>66</v>
      </c>
      <c r="E34" s="10" t="s">
        <v>389</v>
      </c>
      <c r="F34" s="10" t="s">
        <v>390</v>
      </c>
      <c r="G34" s="10" t="s">
        <v>391</v>
      </c>
      <c r="H34" s="10" t="s">
        <v>391</v>
      </c>
      <c r="I34" s="10" t="s">
        <v>392</v>
      </c>
      <c r="J34" s="10" t="s">
        <v>392</v>
      </c>
    </row>
    <row r="35" spans="1:10" x14ac:dyDescent="0.45">
      <c r="A35" s="5" t="str">
        <f t="shared" si="0"/>
        <v>CashierCompany G</v>
      </c>
      <c r="B35" s="5" t="str">
        <f t="shared" si="1"/>
        <v>Cashier Company G</v>
      </c>
      <c r="C35" t="s">
        <v>50</v>
      </c>
      <c r="D35" t="s">
        <v>67</v>
      </c>
      <c r="E35" t="s">
        <v>58</v>
      </c>
      <c r="F35" t="s">
        <v>58</v>
      </c>
      <c r="G35" t="s">
        <v>58</v>
      </c>
      <c r="H35" t="s">
        <v>58</v>
      </c>
      <c r="I35" t="s">
        <v>58</v>
      </c>
      <c r="J35" t="s">
        <v>58</v>
      </c>
    </row>
    <row r="36" spans="1:10" x14ac:dyDescent="0.45">
      <c r="A36" s="5" t="str">
        <f t="shared" si="0"/>
        <v>CashierCompany H</v>
      </c>
      <c r="B36" s="5" t="str">
        <f t="shared" si="1"/>
        <v>Cashier Company H</v>
      </c>
      <c r="C36" t="s">
        <v>50</v>
      </c>
      <c r="D36" t="s">
        <v>68</v>
      </c>
      <c r="E36" t="s">
        <v>206</v>
      </c>
      <c r="F36" t="s">
        <v>206</v>
      </c>
      <c r="G36" t="s">
        <v>206</v>
      </c>
      <c r="H36" t="s">
        <v>206</v>
      </c>
      <c r="I36" t="s">
        <v>206</v>
      </c>
      <c r="J36" t="s">
        <v>206</v>
      </c>
    </row>
    <row r="37" spans="1:10" x14ac:dyDescent="0.45">
      <c r="A37" s="5" t="str">
        <f t="shared" si="0"/>
        <v>CashierCompany I</v>
      </c>
      <c r="B37" s="5" t="str">
        <f t="shared" si="1"/>
        <v>Cashier Company I</v>
      </c>
      <c r="C37" t="s">
        <v>50</v>
      </c>
      <c r="D37" t="s">
        <v>69</v>
      </c>
      <c r="E37" t="s">
        <v>207</v>
      </c>
      <c r="F37" t="s">
        <v>207</v>
      </c>
      <c r="G37" t="s">
        <v>207</v>
      </c>
      <c r="H37" t="s">
        <v>207</v>
      </c>
      <c r="I37" t="s">
        <v>207</v>
      </c>
      <c r="J37" t="s">
        <v>207</v>
      </c>
    </row>
    <row r="38" spans="1:10" x14ac:dyDescent="0.45">
      <c r="A38" s="5" t="str">
        <f t="shared" si="0"/>
        <v>CashierCompany J</v>
      </c>
      <c r="B38" s="5" t="str">
        <f t="shared" si="1"/>
        <v>Cashier Company J</v>
      </c>
      <c r="C38" t="s">
        <v>50</v>
      </c>
      <c r="D38" t="s">
        <v>92</v>
      </c>
      <c r="E38" t="s">
        <v>814</v>
      </c>
      <c r="F38" t="s">
        <v>814</v>
      </c>
      <c r="G38" t="s">
        <v>814</v>
      </c>
      <c r="H38" t="s">
        <v>814</v>
      </c>
      <c r="I38" t="s">
        <v>814</v>
      </c>
      <c r="J38" t="s">
        <v>814</v>
      </c>
    </row>
    <row r="39" spans="1:10" x14ac:dyDescent="0.45">
      <c r="A39" s="5" t="str">
        <f t="shared" si="0"/>
        <v/>
      </c>
      <c r="B39" s="5" t="str">
        <f t="shared" si="1"/>
        <v xml:space="preserve"> </v>
      </c>
      <c r="E39"/>
      <c r="F39"/>
      <c r="G39"/>
      <c r="H39"/>
      <c r="I39"/>
      <c r="J39"/>
    </row>
    <row r="40" spans="1:10" x14ac:dyDescent="0.45">
      <c r="A40" s="5" t="str">
        <f t="shared" si="0"/>
        <v>HousekeeperCompany A</v>
      </c>
      <c r="B40" s="5" t="str">
        <f t="shared" si="1"/>
        <v>Housekeeper Company A</v>
      </c>
      <c r="C40" t="s">
        <v>165</v>
      </c>
      <c r="D40" t="s">
        <v>64</v>
      </c>
      <c r="E40" s="10" t="s">
        <v>172</v>
      </c>
      <c r="F40" s="10" t="s">
        <v>172</v>
      </c>
      <c r="G40" s="10" t="s">
        <v>172</v>
      </c>
      <c r="H40" s="10" t="s">
        <v>172</v>
      </c>
      <c r="I40" s="10" t="s">
        <v>172</v>
      </c>
      <c r="J40" s="10" t="s">
        <v>172</v>
      </c>
    </row>
    <row r="41" spans="1:10" x14ac:dyDescent="0.45">
      <c r="A41" s="5" t="str">
        <f t="shared" si="0"/>
        <v>HousekeeperCompany B</v>
      </c>
      <c r="B41" s="5" t="str">
        <f t="shared" si="1"/>
        <v>Housekeeper Company B</v>
      </c>
      <c r="C41" t="s">
        <v>165</v>
      </c>
      <c r="D41" t="s">
        <v>53</v>
      </c>
      <c r="E41" s="10" t="s">
        <v>349</v>
      </c>
      <c r="F41" s="10" t="s">
        <v>349</v>
      </c>
      <c r="G41" s="10" t="s">
        <v>349</v>
      </c>
      <c r="H41" s="10" t="s">
        <v>349</v>
      </c>
      <c r="I41" s="10" t="s">
        <v>349</v>
      </c>
      <c r="J41" s="10" t="s">
        <v>349</v>
      </c>
    </row>
    <row r="42" spans="1:10" x14ac:dyDescent="0.45">
      <c r="A42" s="5" t="str">
        <f t="shared" si="0"/>
        <v>HousekeeperCompany C</v>
      </c>
      <c r="B42" s="5" t="str">
        <f t="shared" si="1"/>
        <v>Housekeeper Company C</v>
      </c>
      <c r="C42" t="s">
        <v>165</v>
      </c>
      <c r="D42" t="s">
        <v>54</v>
      </c>
      <c r="E42" s="10" t="s">
        <v>603</v>
      </c>
      <c r="F42" s="10" t="s">
        <v>603</v>
      </c>
      <c r="G42" s="10" t="s">
        <v>603</v>
      </c>
      <c r="H42" s="10" t="s">
        <v>603</v>
      </c>
      <c r="I42" s="10" t="s">
        <v>603</v>
      </c>
      <c r="J42" s="10" t="s">
        <v>603</v>
      </c>
    </row>
    <row r="43" spans="1:10" x14ac:dyDescent="0.45">
      <c r="A43" s="5" t="str">
        <f t="shared" si="0"/>
        <v>HousekeeperCompany D</v>
      </c>
      <c r="B43" s="5" t="str">
        <f t="shared" si="1"/>
        <v>Housekeeper Company D</v>
      </c>
      <c r="C43" t="s">
        <v>165</v>
      </c>
      <c r="D43" t="s">
        <v>65</v>
      </c>
      <c r="E43" s="10" t="s">
        <v>673</v>
      </c>
      <c r="F43" s="10" t="s">
        <v>673</v>
      </c>
      <c r="G43" s="10" t="s">
        <v>673</v>
      </c>
      <c r="H43" s="10" t="s">
        <v>673</v>
      </c>
      <c r="I43" s="10" t="s">
        <v>673</v>
      </c>
      <c r="J43" s="10" t="s">
        <v>673</v>
      </c>
    </row>
    <row r="44" spans="1:10" x14ac:dyDescent="0.45">
      <c r="A44" s="5" t="str">
        <f t="shared" si="0"/>
        <v>HousekeeperCompany E</v>
      </c>
      <c r="B44" s="5" t="str">
        <f t="shared" si="1"/>
        <v>Housekeeper Company E</v>
      </c>
      <c r="C44" t="s">
        <v>165</v>
      </c>
      <c r="D44" t="s">
        <v>52</v>
      </c>
      <c r="E44" s="10" t="s">
        <v>667</v>
      </c>
      <c r="F44" s="10" t="s">
        <v>667</v>
      </c>
      <c r="G44" s="10" t="s">
        <v>667</v>
      </c>
      <c r="H44" s="10" t="s">
        <v>667</v>
      </c>
      <c r="I44" s="10" t="s">
        <v>667</v>
      </c>
      <c r="J44" s="10" t="s">
        <v>667</v>
      </c>
    </row>
    <row r="45" spans="1:10" x14ac:dyDescent="0.45">
      <c r="A45" s="5" t="str">
        <f t="shared" si="0"/>
        <v>HousekeeperCompany F</v>
      </c>
      <c r="B45" s="5" t="str">
        <f t="shared" si="1"/>
        <v>Housekeeper Company F</v>
      </c>
      <c r="C45" t="s">
        <v>165</v>
      </c>
      <c r="D45" t="s">
        <v>66</v>
      </c>
      <c r="E45" s="10" t="s">
        <v>668</v>
      </c>
      <c r="F45" s="10" t="s">
        <v>674</v>
      </c>
      <c r="G45" s="10" t="s">
        <v>678</v>
      </c>
      <c r="H45" s="10" t="s">
        <v>679</v>
      </c>
      <c r="I45" s="10" t="s">
        <v>681</v>
      </c>
      <c r="J45" s="10" t="s">
        <v>684</v>
      </c>
    </row>
    <row r="46" spans="1:10" x14ac:dyDescent="0.45">
      <c r="A46" s="5" t="str">
        <f t="shared" si="0"/>
        <v>HousekeeperCompany G</v>
      </c>
      <c r="B46" s="5" t="str">
        <f t="shared" si="1"/>
        <v>Housekeeper Company G</v>
      </c>
      <c r="C46" t="s">
        <v>165</v>
      </c>
      <c r="D46" t="s">
        <v>67</v>
      </c>
      <c r="E46" s="10" t="s">
        <v>672</v>
      </c>
      <c r="F46" s="10" t="s">
        <v>672</v>
      </c>
      <c r="G46" s="10" t="s">
        <v>672</v>
      </c>
      <c r="H46" s="10" t="s">
        <v>672</v>
      </c>
      <c r="I46" s="10" t="s">
        <v>672</v>
      </c>
      <c r="J46" s="10" t="s">
        <v>672</v>
      </c>
    </row>
    <row r="47" spans="1:10" x14ac:dyDescent="0.45">
      <c r="A47" s="5" t="str">
        <f t="shared" si="0"/>
        <v>HousekeeperCompany H</v>
      </c>
      <c r="B47" s="5" t="str">
        <f t="shared" si="1"/>
        <v>Housekeeper Company H</v>
      </c>
      <c r="C47" t="s">
        <v>165</v>
      </c>
      <c r="D47" t="s">
        <v>68</v>
      </c>
      <c r="E47" s="10" t="s">
        <v>669</v>
      </c>
      <c r="F47" s="10" t="s">
        <v>669</v>
      </c>
      <c r="G47" s="10" t="s">
        <v>669</v>
      </c>
      <c r="H47" s="10" t="s">
        <v>669</v>
      </c>
      <c r="I47" s="10" t="s">
        <v>669</v>
      </c>
      <c r="J47" s="10" t="s">
        <v>669</v>
      </c>
    </row>
    <row r="48" spans="1:10" x14ac:dyDescent="0.45">
      <c r="A48" s="5" t="str">
        <f t="shared" si="0"/>
        <v>HousekeeperCompany I</v>
      </c>
      <c r="B48" s="5" t="str">
        <f t="shared" si="1"/>
        <v>Housekeeper Company I</v>
      </c>
      <c r="C48" t="s">
        <v>165</v>
      </c>
      <c r="D48" t="s">
        <v>69</v>
      </c>
      <c r="E48" s="10" t="s">
        <v>670</v>
      </c>
      <c r="F48" s="10" t="s">
        <v>676</v>
      </c>
      <c r="G48" s="10" t="s">
        <v>670</v>
      </c>
      <c r="H48" s="10" t="s">
        <v>676</v>
      </c>
      <c r="I48" s="10" t="s">
        <v>682</v>
      </c>
      <c r="J48" s="10" t="s">
        <v>685</v>
      </c>
    </row>
    <row r="49" spans="1:10" x14ac:dyDescent="0.45">
      <c r="A49" s="5" t="str">
        <f t="shared" si="0"/>
        <v>HousekeeperCompany J</v>
      </c>
      <c r="B49" s="5" t="str">
        <f t="shared" si="1"/>
        <v>Housekeeper Company J</v>
      </c>
      <c r="C49" t="s">
        <v>165</v>
      </c>
      <c r="D49" t="s">
        <v>92</v>
      </c>
      <c r="E49" s="10" t="s">
        <v>671</v>
      </c>
      <c r="F49" s="10" t="s">
        <v>675</v>
      </c>
      <c r="G49" s="10" t="s">
        <v>677</v>
      </c>
      <c r="H49" s="10" t="s">
        <v>680</v>
      </c>
      <c r="I49" s="10" t="s">
        <v>683</v>
      </c>
      <c r="J49" s="10" t="s">
        <v>686</v>
      </c>
    </row>
    <row r="50" spans="1:10" x14ac:dyDescent="0.45">
      <c r="A50" s="5" t="str">
        <f t="shared" si="0"/>
        <v/>
      </c>
      <c r="B50" s="5" t="str">
        <f t="shared" si="1"/>
        <v xml:space="preserve"> </v>
      </c>
    </row>
    <row r="51" spans="1:10" x14ac:dyDescent="0.45">
      <c r="A51" s="5" t="str">
        <f t="shared" si="0"/>
        <v>Certified Nursing AssistantCompany A</v>
      </c>
      <c r="B51" s="5" t="str">
        <f t="shared" si="1"/>
        <v>Certified Nursing Assistant Company A</v>
      </c>
      <c r="C51" t="s">
        <v>164</v>
      </c>
      <c r="D51" t="s">
        <v>64</v>
      </c>
      <c r="E51" s="10" t="s">
        <v>198</v>
      </c>
      <c r="F51" s="10" t="s">
        <v>168</v>
      </c>
      <c r="G51" s="10" t="s">
        <v>170</v>
      </c>
      <c r="H51" s="10" t="s">
        <v>171</v>
      </c>
      <c r="I51" s="10" t="s">
        <v>169</v>
      </c>
      <c r="J51" s="10" t="s">
        <v>505</v>
      </c>
    </row>
    <row r="52" spans="1:10" x14ac:dyDescent="0.45">
      <c r="A52" s="5" t="str">
        <f t="shared" si="0"/>
        <v>Certified Nursing AssistantCompany B</v>
      </c>
      <c r="B52" s="5" t="str">
        <f t="shared" si="1"/>
        <v>Certified Nursing Assistant Company B</v>
      </c>
      <c r="C52" t="s">
        <v>164</v>
      </c>
      <c r="D52" t="s">
        <v>53</v>
      </c>
      <c r="E52" s="10" t="s">
        <v>512</v>
      </c>
      <c r="F52" s="10" t="s">
        <v>988</v>
      </c>
      <c r="G52" s="10" t="s">
        <v>521</v>
      </c>
      <c r="H52" s="10" t="s">
        <v>528</v>
      </c>
      <c r="I52" s="10" t="s">
        <v>989</v>
      </c>
      <c r="J52" s="10" t="s">
        <v>990</v>
      </c>
    </row>
    <row r="53" spans="1:10" x14ac:dyDescent="0.45">
      <c r="A53" s="5" t="str">
        <f t="shared" si="0"/>
        <v>Certified Nursing AssistantCompany C</v>
      </c>
      <c r="B53" s="5" t="str">
        <f t="shared" si="1"/>
        <v>Certified Nursing Assistant Company C</v>
      </c>
      <c r="C53" t="s">
        <v>164</v>
      </c>
      <c r="D53" t="s">
        <v>54</v>
      </c>
      <c r="E53" s="10" t="s">
        <v>516</v>
      </c>
      <c r="F53" s="10" t="s">
        <v>520</v>
      </c>
      <c r="G53" s="10" t="s">
        <v>525</v>
      </c>
      <c r="H53" s="10" t="s">
        <v>527</v>
      </c>
      <c r="I53" s="10" t="s">
        <v>516</v>
      </c>
      <c r="J53" s="10" t="s">
        <v>516</v>
      </c>
    </row>
    <row r="54" spans="1:10" x14ac:dyDescent="0.45">
      <c r="A54" s="5" t="str">
        <f t="shared" si="0"/>
        <v>Certified Nursing AssistantCompany D</v>
      </c>
      <c r="B54" s="5" t="str">
        <f t="shared" si="1"/>
        <v>Certified Nursing Assistant Company D</v>
      </c>
      <c r="C54" t="s">
        <v>164</v>
      </c>
      <c r="D54" t="s">
        <v>65</v>
      </c>
      <c r="E54" s="10" t="s">
        <v>894</v>
      </c>
      <c r="F54" s="10" t="s">
        <v>507</v>
      </c>
      <c r="G54" s="10" t="s">
        <v>508</v>
      </c>
      <c r="H54" s="10" t="s">
        <v>509</v>
      </c>
      <c r="I54" s="10" t="s">
        <v>510</v>
      </c>
      <c r="J54" s="10" t="s">
        <v>511</v>
      </c>
    </row>
    <row r="55" spans="1:10" x14ac:dyDescent="0.45">
      <c r="A55" s="5" t="str">
        <f t="shared" si="0"/>
        <v>Certified Nursing AssistantCompany E</v>
      </c>
      <c r="B55" s="5" t="str">
        <f t="shared" si="1"/>
        <v>Certified Nursing Assistant Company E</v>
      </c>
      <c r="C55" t="s">
        <v>164</v>
      </c>
      <c r="D55" t="s">
        <v>52</v>
      </c>
      <c r="E55" s="10" t="s">
        <v>236</v>
      </c>
      <c r="F55" s="10" t="s">
        <v>237</v>
      </c>
      <c r="G55" s="10" t="s">
        <v>234</v>
      </c>
      <c r="H55" s="10" t="s">
        <v>238</v>
      </c>
      <c r="I55" s="10" t="s">
        <v>239</v>
      </c>
      <c r="J55" s="10" t="s">
        <v>240</v>
      </c>
    </row>
    <row r="56" spans="1:10" x14ac:dyDescent="0.45">
      <c r="A56" s="5" t="str">
        <f t="shared" si="0"/>
        <v>Certified Nursing AssistantCompany F</v>
      </c>
      <c r="B56" s="5" t="str">
        <f t="shared" si="1"/>
        <v>Certified Nursing Assistant Company F</v>
      </c>
      <c r="C56" t="s">
        <v>164</v>
      </c>
      <c r="D56" t="s">
        <v>66</v>
      </c>
      <c r="E56" s="10" t="s">
        <v>494</v>
      </c>
      <c r="F56" s="10" t="s">
        <v>496</v>
      </c>
      <c r="G56" s="10" t="s">
        <v>498</v>
      </c>
      <c r="H56" s="10" t="s">
        <v>500</v>
      </c>
      <c r="I56" s="10" t="s">
        <v>502</v>
      </c>
      <c r="J56" s="10" t="s">
        <v>504</v>
      </c>
    </row>
    <row r="57" spans="1:10" x14ac:dyDescent="0.45">
      <c r="A57" s="5" t="str">
        <f t="shared" si="0"/>
        <v>Certified Nursing AssistantCompany G</v>
      </c>
      <c r="B57" s="5" t="str">
        <f t="shared" si="1"/>
        <v>Certified Nursing Assistant Company G</v>
      </c>
      <c r="C57" t="s">
        <v>164</v>
      </c>
      <c r="D57" t="s">
        <v>67</v>
      </c>
      <c r="E57" s="10" t="s">
        <v>515</v>
      </c>
      <c r="F57" s="10" t="s">
        <v>519</v>
      </c>
      <c r="G57" s="10" t="s">
        <v>524</v>
      </c>
      <c r="H57" s="10" t="s">
        <v>526</v>
      </c>
      <c r="I57" s="10" t="s">
        <v>531</v>
      </c>
      <c r="J57" s="10" t="s">
        <v>536</v>
      </c>
    </row>
    <row r="58" spans="1:10" x14ac:dyDescent="0.45">
      <c r="A58" s="5" t="str">
        <f t="shared" si="0"/>
        <v>Certified Nursing AssistantCompany H</v>
      </c>
      <c r="B58" s="5" t="str">
        <f t="shared" si="1"/>
        <v>Certified Nursing Assistant Company H</v>
      </c>
      <c r="C58" t="s">
        <v>164</v>
      </c>
      <c r="D58" t="s">
        <v>68</v>
      </c>
      <c r="E58" s="10" t="s">
        <v>513</v>
      </c>
      <c r="F58" s="10" t="s">
        <v>517</v>
      </c>
      <c r="G58" s="10" t="s">
        <v>522</v>
      </c>
      <c r="H58" s="10" t="s">
        <v>529</v>
      </c>
      <c r="I58" s="10" t="s">
        <v>532</v>
      </c>
      <c r="J58" s="10" t="s">
        <v>534</v>
      </c>
    </row>
    <row r="59" spans="1:10" x14ac:dyDescent="0.45">
      <c r="A59" s="5" t="str">
        <f t="shared" si="0"/>
        <v>Certified Nursing AssistantCompany I</v>
      </c>
      <c r="B59" s="5" t="str">
        <f t="shared" si="1"/>
        <v>Certified Nursing Assistant Company I</v>
      </c>
      <c r="C59" t="s">
        <v>164</v>
      </c>
      <c r="D59" t="s">
        <v>69</v>
      </c>
      <c r="E59" s="10" t="s">
        <v>495</v>
      </c>
      <c r="F59" s="10" t="s">
        <v>497</v>
      </c>
      <c r="G59" s="10" t="s">
        <v>499</v>
      </c>
      <c r="H59" s="10" t="s">
        <v>501</v>
      </c>
      <c r="I59" s="10" t="s">
        <v>503</v>
      </c>
      <c r="J59" s="10" t="s">
        <v>506</v>
      </c>
    </row>
    <row r="60" spans="1:10" x14ac:dyDescent="0.45">
      <c r="A60" s="5" t="str">
        <f t="shared" si="0"/>
        <v>Certified Nursing AssistantCompany J</v>
      </c>
      <c r="B60" s="5" t="str">
        <f t="shared" si="1"/>
        <v>Certified Nursing Assistant Company J</v>
      </c>
      <c r="C60" t="s">
        <v>164</v>
      </c>
      <c r="D60" t="s">
        <v>92</v>
      </c>
      <c r="E60" s="10" t="s">
        <v>514</v>
      </c>
      <c r="F60" s="10" t="s">
        <v>518</v>
      </c>
      <c r="G60" s="10" t="s">
        <v>523</v>
      </c>
      <c r="H60" s="10" t="s">
        <v>530</v>
      </c>
      <c r="I60" s="10" t="s">
        <v>533</v>
      </c>
      <c r="J60" s="10" t="s">
        <v>535</v>
      </c>
    </row>
    <row r="61" spans="1:10" x14ac:dyDescent="0.45">
      <c r="A61" s="5" t="str">
        <f t="shared" si="0"/>
        <v/>
      </c>
      <c r="B61" s="5" t="str">
        <f t="shared" si="1"/>
        <v xml:space="preserve"> </v>
      </c>
      <c r="E61"/>
      <c r="F61"/>
    </row>
    <row r="62" spans="1:10" x14ac:dyDescent="0.45">
      <c r="A62" s="5" t="str">
        <f t="shared" si="0"/>
        <v>Administrative AssistantCompany A</v>
      </c>
      <c r="B62" s="5" t="str">
        <f t="shared" si="1"/>
        <v>Administrative Assistant Company A</v>
      </c>
      <c r="C62" t="s">
        <v>208</v>
      </c>
      <c r="D62" t="s">
        <v>64</v>
      </c>
      <c r="E62" s="10" t="s">
        <v>538</v>
      </c>
      <c r="F62" s="10" t="s">
        <v>539</v>
      </c>
      <c r="G62" s="10" t="s">
        <v>540</v>
      </c>
      <c r="H62" s="10" t="s">
        <v>541</v>
      </c>
      <c r="I62" s="10" t="s">
        <v>542</v>
      </c>
      <c r="J62" s="10" t="s">
        <v>543</v>
      </c>
    </row>
    <row r="63" spans="1:10" x14ac:dyDescent="0.45">
      <c r="A63" s="5" t="str">
        <f t="shared" si="0"/>
        <v>Administrative AssistantCompany B</v>
      </c>
      <c r="B63" s="5" t="str">
        <f t="shared" si="1"/>
        <v>Administrative Assistant Company B</v>
      </c>
      <c r="C63" t="s">
        <v>208</v>
      </c>
      <c r="D63" t="s">
        <v>53</v>
      </c>
      <c r="E63" s="10" t="s">
        <v>202</v>
      </c>
      <c r="F63" s="10" t="s">
        <v>202</v>
      </c>
      <c r="G63" s="10" t="s">
        <v>202</v>
      </c>
      <c r="H63" s="10" t="s">
        <v>202</v>
      </c>
      <c r="I63" s="10" t="s">
        <v>202</v>
      </c>
      <c r="J63" s="10" t="s">
        <v>202</v>
      </c>
    </row>
    <row r="64" spans="1:10" x14ac:dyDescent="0.45">
      <c r="A64" s="5" t="str">
        <f t="shared" si="0"/>
        <v>Administrative AssistantCompany C</v>
      </c>
      <c r="B64" s="5" t="str">
        <f t="shared" si="1"/>
        <v>Administrative Assistant Company C</v>
      </c>
      <c r="C64" t="s">
        <v>208</v>
      </c>
      <c r="D64" t="s">
        <v>54</v>
      </c>
      <c r="E64" s="10" t="s">
        <v>913</v>
      </c>
      <c r="F64" s="10" t="s">
        <v>914</v>
      </c>
      <c r="G64" s="10" t="s">
        <v>915</v>
      </c>
      <c r="H64" s="10" t="s">
        <v>916</v>
      </c>
      <c r="I64" s="10" t="s">
        <v>917</v>
      </c>
      <c r="J64" s="10" t="s">
        <v>918</v>
      </c>
    </row>
    <row r="65" spans="1:10" x14ac:dyDescent="0.45">
      <c r="A65" s="5" t="str">
        <f t="shared" si="0"/>
        <v>Administrative AssistantCompany D</v>
      </c>
      <c r="B65" s="5" t="str">
        <f t="shared" si="1"/>
        <v>Administrative Assistant Company D</v>
      </c>
      <c r="C65" t="s">
        <v>208</v>
      </c>
      <c r="D65" t="s">
        <v>65</v>
      </c>
      <c r="E65" s="10" t="s">
        <v>919</v>
      </c>
      <c r="F65" s="10" t="s">
        <v>920</v>
      </c>
      <c r="G65" s="10" t="s">
        <v>921</v>
      </c>
      <c r="H65" s="10" t="s">
        <v>921</v>
      </c>
      <c r="I65" s="10" t="s">
        <v>922</v>
      </c>
      <c r="J65" s="10" t="s">
        <v>923</v>
      </c>
    </row>
    <row r="66" spans="1:10" x14ac:dyDescent="0.45">
      <c r="A66" s="5" t="str">
        <f t="shared" ref="A66:A129" si="2">C66&amp;D66</f>
        <v>Administrative AssistantCompany E</v>
      </c>
      <c r="B66" s="5" t="str">
        <f t="shared" ref="B66:B129" si="3">C66&amp;" "&amp;D66</f>
        <v>Administrative Assistant Company E</v>
      </c>
      <c r="C66" t="s">
        <v>208</v>
      </c>
      <c r="D66" t="s">
        <v>52</v>
      </c>
      <c r="E66" s="10" t="s">
        <v>924</v>
      </c>
      <c r="F66" s="10" t="s">
        <v>925</v>
      </c>
      <c r="G66" s="10" t="s">
        <v>926</v>
      </c>
      <c r="H66" s="10" t="s">
        <v>927</v>
      </c>
      <c r="I66" s="10" t="s">
        <v>928</v>
      </c>
      <c r="J66" s="10" t="s">
        <v>929</v>
      </c>
    </row>
    <row r="67" spans="1:10" x14ac:dyDescent="0.45">
      <c r="A67" s="5" t="str">
        <f t="shared" si="2"/>
        <v>Administrative AssistantCompany F</v>
      </c>
      <c r="B67" s="5" t="str">
        <f t="shared" si="3"/>
        <v>Administrative Assistant Company F</v>
      </c>
      <c r="C67" t="s">
        <v>208</v>
      </c>
      <c r="D67" t="s">
        <v>66</v>
      </c>
      <c r="E67" s="10" t="s">
        <v>991</v>
      </c>
      <c r="F67" s="10" t="s">
        <v>930</v>
      </c>
      <c r="G67" s="10" t="s">
        <v>931</v>
      </c>
      <c r="H67" s="10" t="s">
        <v>932</v>
      </c>
      <c r="I67" s="10" t="s">
        <v>933</v>
      </c>
      <c r="J67" s="10" t="s">
        <v>934</v>
      </c>
    </row>
    <row r="68" spans="1:10" x14ac:dyDescent="0.45">
      <c r="A68" s="5" t="str">
        <f t="shared" si="2"/>
        <v>Administrative AssistantCompany G</v>
      </c>
      <c r="B68" s="5" t="str">
        <f t="shared" si="3"/>
        <v>Administrative Assistant Company G</v>
      </c>
      <c r="C68" t="s">
        <v>208</v>
      </c>
      <c r="D68" t="s">
        <v>67</v>
      </c>
      <c r="E68" s="10" t="s">
        <v>475</v>
      </c>
      <c r="F68" s="10" t="s">
        <v>475</v>
      </c>
      <c r="G68" s="10" t="s">
        <v>475</v>
      </c>
      <c r="H68" s="10" t="s">
        <v>475</v>
      </c>
      <c r="I68" s="10" t="s">
        <v>475</v>
      </c>
      <c r="J68" s="10" t="s">
        <v>475</v>
      </c>
    </row>
    <row r="69" spans="1:10" x14ac:dyDescent="0.45">
      <c r="A69" s="5" t="str">
        <f t="shared" si="2"/>
        <v>Administrative AssistantCompany H</v>
      </c>
      <c r="B69" s="5" t="str">
        <f t="shared" si="3"/>
        <v>Administrative Assistant Company H</v>
      </c>
      <c r="C69" t="s">
        <v>208</v>
      </c>
      <c r="D69" t="s">
        <v>68</v>
      </c>
      <c r="E69" s="10" t="s">
        <v>992</v>
      </c>
      <c r="F69" s="10" t="s">
        <v>993</v>
      </c>
      <c r="G69" s="10" t="s">
        <v>994</v>
      </c>
      <c r="H69" s="10" t="s">
        <v>935</v>
      </c>
      <c r="I69" s="10" t="s">
        <v>936</v>
      </c>
      <c r="J69" s="10" t="s">
        <v>937</v>
      </c>
    </row>
    <row r="70" spans="1:10" x14ac:dyDescent="0.45">
      <c r="A70" s="5" t="str">
        <f t="shared" si="2"/>
        <v>Administrative AssistantCompany I</v>
      </c>
      <c r="B70" s="5" t="str">
        <f t="shared" si="3"/>
        <v>Administrative Assistant Company I</v>
      </c>
      <c r="C70" t="s">
        <v>208</v>
      </c>
      <c r="D70" t="s">
        <v>69</v>
      </c>
      <c r="E70" s="10" t="s">
        <v>802</v>
      </c>
      <c r="F70" s="10" t="s">
        <v>801</v>
      </c>
      <c r="G70" s="10" t="s">
        <v>798</v>
      </c>
      <c r="H70" s="10" t="s">
        <v>794</v>
      </c>
      <c r="I70" s="10" t="s">
        <v>783</v>
      </c>
      <c r="J70" s="10" t="s">
        <v>784</v>
      </c>
    </row>
    <row r="71" spans="1:10" x14ac:dyDescent="0.45">
      <c r="A71" s="5" t="str">
        <f t="shared" si="2"/>
        <v>Administrative AssistantCompany J</v>
      </c>
      <c r="B71" s="5" t="str">
        <f t="shared" si="3"/>
        <v>Administrative Assistant Company J</v>
      </c>
      <c r="C71" t="s">
        <v>208</v>
      </c>
      <c r="D71" t="s">
        <v>92</v>
      </c>
      <c r="E71" s="10" t="s">
        <v>630</v>
      </c>
      <c r="F71" s="10" t="s">
        <v>630</v>
      </c>
      <c r="G71" s="10" t="s">
        <v>630</v>
      </c>
      <c r="H71" s="10" t="s">
        <v>630</v>
      </c>
      <c r="I71" s="10" t="s">
        <v>630</v>
      </c>
      <c r="J71" s="10" t="s">
        <v>630</v>
      </c>
    </row>
    <row r="72" spans="1:10" x14ac:dyDescent="0.45">
      <c r="A72" s="5" t="str">
        <f t="shared" si="2"/>
        <v/>
      </c>
      <c r="B72" s="5" t="str">
        <f t="shared" si="3"/>
        <v xml:space="preserve"> </v>
      </c>
    </row>
    <row r="73" spans="1:10" x14ac:dyDescent="0.45">
      <c r="A73" s="5" t="str">
        <f t="shared" si="2"/>
        <v>Sales AssociateCompany A</v>
      </c>
      <c r="B73" s="5" t="str">
        <f t="shared" si="3"/>
        <v>Sales Associate Company A</v>
      </c>
      <c r="C73" t="s">
        <v>56</v>
      </c>
      <c r="D73" t="s">
        <v>64</v>
      </c>
      <c r="E73" s="10" t="s">
        <v>987</v>
      </c>
      <c r="F73" s="10" t="s">
        <v>987</v>
      </c>
      <c r="G73" s="10" t="s">
        <v>987</v>
      </c>
      <c r="H73" s="10" t="s">
        <v>987</v>
      </c>
      <c r="I73" s="10" t="s">
        <v>987</v>
      </c>
      <c r="J73" s="10" t="s">
        <v>987</v>
      </c>
    </row>
    <row r="74" spans="1:10" x14ac:dyDescent="0.45">
      <c r="A74" s="5" t="str">
        <f t="shared" si="2"/>
        <v>Sales AssociateCompany B</v>
      </c>
      <c r="B74" s="5" t="str">
        <f t="shared" si="3"/>
        <v>Sales Associate Company B</v>
      </c>
      <c r="C74" t="s">
        <v>56</v>
      </c>
      <c r="D74" t="s">
        <v>53</v>
      </c>
      <c r="E74" s="10" t="s">
        <v>79</v>
      </c>
      <c r="F74" s="10" t="s">
        <v>79</v>
      </c>
      <c r="G74" s="10" t="s">
        <v>79</v>
      </c>
      <c r="H74" s="10" t="s">
        <v>79</v>
      </c>
      <c r="I74" s="10" t="s">
        <v>79</v>
      </c>
      <c r="J74" s="10" t="s">
        <v>79</v>
      </c>
    </row>
    <row r="75" spans="1:10" x14ac:dyDescent="0.45">
      <c r="A75" s="5" t="str">
        <f t="shared" si="2"/>
        <v>Sales AssociateCompany C</v>
      </c>
      <c r="B75" s="5" t="str">
        <f t="shared" si="3"/>
        <v>Sales Associate Company C</v>
      </c>
      <c r="C75" t="s">
        <v>56</v>
      </c>
      <c r="D75" t="s">
        <v>54</v>
      </c>
      <c r="E75" s="10" t="s">
        <v>383</v>
      </c>
      <c r="F75" s="10" t="s">
        <v>383</v>
      </c>
      <c r="G75" s="10" t="s">
        <v>383</v>
      </c>
      <c r="H75" s="10" t="s">
        <v>383</v>
      </c>
      <c r="I75" s="10" t="s">
        <v>383</v>
      </c>
      <c r="J75" s="10" t="s">
        <v>383</v>
      </c>
    </row>
    <row r="76" spans="1:10" x14ac:dyDescent="0.45">
      <c r="A76" s="5" t="str">
        <f t="shared" si="2"/>
        <v>Sales AssociateCompany D</v>
      </c>
      <c r="B76" s="5" t="str">
        <f t="shared" si="3"/>
        <v>Sales Associate Company D</v>
      </c>
      <c r="C76" t="s">
        <v>56</v>
      </c>
      <c r="D76" t="s">
        <v>65</v>
      </c>
      <c r="E76" s="10" t="s">
        <v>148</v>
      </c>
      <c r="F76" s="10" t="s">
        <v>148</v>
      </c>
      <c r="G76" s="10" t="s">
        <v>148</v>
      </c>
      <c r="H76" s="10" t="s">
        <v>148</v>
      </c>
      <c r="I76" s="10" t="s">
        <v>148</v>
      </c>
      <c r="J76" s="10" t="s">
        <v>148</v>
      </c>
    </row>
    <row r="77" spans="1:10" x14ac:dyDescent="0.45">
      <c r="A77" s="5" t="str">
        <f t="shared" si="2"/>
        <v>Sales AssociateCompany E</v>
      </c>
      <c r="B77" s="5" t="str">
        <f t="shared" si="3"/>
        <v>Sales Associate Company E</v>
      </c>
      <c r="C77" t="s">
        <v>56</v>
      </c>
      <c r="D77" t="s">
        <v>52</v>
      </c>
      <c r="E77" s="10" t="s">
        <v>149</v>
      </c>
      <c r="F77" s="10" t="s">
        <v>149</v>
      </c>
      <c r="G77" s="10" t="s">
        <v>149</v>
      </c>
      <c r="H77" s="10" t="s">
        <v>149</v>
      </c>
      <c r="I77" s="10" t="s">
        <v>149</v>
      </c>
      <c r="J77" s="10" t="s">
        <v>149</v>
      </c>
    </row>
    <row r="78" spans="1:10" x14ac:dyDescent="0.45">
      <c r="A78" s="5" t="str">
        <f t="shared" si="2"/>
        <v>Sales AssociateCompany F</v>
      </c>
      <c r="B78" s="5" t="str">
        <f t="shared" si="3"/>
        <v>Sales Associate Company F</v>
      </c>
      <c r="C78" t="s">
        <v>56</v>
      </c>
      <c r="D78" t="s">
        <v>66</v>
      </c>
      <c r="E78" s="10" t="s">
        <v>382</v>
      </c>
      <c r="F78" s="10" t="s">
        <v>382</v>
      </c>
      <c r="G78" s="10" t="s">
        <v>382</v>
      </c>
      <c r="H78" s="10" t="s">
        <v>382</v>
      </c>
      <c r="I78" s="10" t="s">
        <v>382</v>
      </c>
      <c r="J78" s="10" t="s">
        <v>382</v>
      </c>
    </row>
    <row r="79" spans="1:10" x14ac:dyDescent="0.45">
      <c r="A79" s="5" t="str">
        <f t="shared" si="2"/>
        <v>Sales AssociateCompany G</v>
      </c>
      <c r="B79" s="5" t="str">
        <f t="shared" si="3"/>
        <v>Sales Associate Company G</v>
      </c>
      <c r="C79" t="s">
        <v>56</v>
      </c>
      <c r="D79" t="s">
        <v>67</v>
      </c>
      <c r="E79" s="10" t="s">
        <v>384</v>
      </c>
      <c r="F79" s="10" t="s">
        <v>384</v>
      </c>
      <c r="G79" s="10" t="s">
        <v>384</v>
      </c>
      <c r="H79" s="10" t="s">
        <v>384</v>
      </c>
      <c r="I79" s="10" t="s">
        <v>384</v>
      </c>
      <c r="J79" s="10" t="s">
        <v>384</v>
      </c>
    </row>
    <row r="80" spans="1:10" x14ac:dyDescent="0.45">
      <c r="A80" s="5" t="str">
        <f t="shared" si="2"/>
        <v>Sales AssociateCompany H</v>
      </c>
      <c r="B80" s="5" t="str">
        <f t="shared" si="3"/>
        <v>Sales Associate Company H</v>
      </c>
      <c r="C80" t="s">
        <v>56</v>
      </c>
      <c r="D80" t="s">
        <v>68</v>
      </c>
      <c r="E80" s="10" t="s">
        <v>385</v>
      </c>
      <c r="F80" s="10" t="s">
        <v>385</v>
      </c>
      <c r="G80" s="10" t="s">
        <v>385</v>
      </c>
      <c r="H80" s="10" t="s">
        <v>385</v>
      </c>
      <c r="I80" s="10" t="s">
        <v>385</v>
      </c>
      <c r="J80" s="10" t="s">
        <v>385</v>
      </c>
    </row>
    <row r="81" spans="1:11" x14ac:dyDescent="0.45">
      <c r="A81" s="5" t="str">
        <f t="shared" si="2"/>
        <v>Sales AssociateCompany I</v>
      </c>
      <c r="B81" s="5" t="str">
        <f t="shared" si="3"/>
        <v>Sales Associate Company I</v>
      </c>
      <c r="C81" t="s">
        <v>56</v>
      </c>
      <c r="D81" t="s">
        <v>69</v>
      </c>
      <c r="E81" s="10" t="s">
        <v>386</v>
      </c>
      <c r="F81" s="10" t="s">
        <v>386</v>
      </c>
      <c r="G81" s="10" t="s">
        <v>386</v>
      </c>
      <c r="H81" s="10" t="s">
        <v>386</v>
      </c>
      <c r="I81" s="10" t="s">
        <v>386</v>
      </c>
      <c r="J81" s="10" t="s">
        <v>386</v>
      </c>
    </row>
    <row r="82" spans="1:11" x14ac:dyDescent="0.45">
      <c r="A82" s="5" t="str">
        <f t="shared" si="2"/>
        <v>Sales AssociateCompany J</v>
      </c>
      <c r="B82" s="5" t="str">
        <f t="shared" si="3"/>
        <v>Sales Associate Company J</v>
      </c>
      <c r="C82" t="s">
        <v>56</v>
      </c>
      <c r="D82" t="s">
        <v>92</v>
      </c>
      <c r="E82" s="10" t="s">
        <v>387</v>
      </c>
      <c r="F82" s="10" t="s">
        <v>387</v>
      </c>
      <c r="G82" s="10" t="s">
        <v>388</v>
      </c>
      <c r="H82" s="10" t="s">
        <v>388</v>
      </c>
      <c r="I82" s="10" t="s">
        <v>336</v>
      </c>
      <c r="J82" s="10" t="s">
        <v>336</v>
      </c>
    </row>
    <row r="83" spans="1:11" x14ac:dyDescent="0.45">
      <c r="A83" s="5" t="str">
        <f t="shared" si="2"/>
        <v/>
      </c>
      <c r="B83" s="5" t="str">
        <f t="shared" si="3"/>
        <v xml:space="preserve"> </v>
      </c>
    </row>
    <row r="84" spans="1:11" x14ac:dyDescent="0.45">
      <c r="A84" s="5" t="str">
        <f t="shared" si="2"/>
        <v>ServerCompany A</v>
      </c>
      <c r="B84" s="5" t="str">
        <f t="shared" si="3"/>
        <v>Server Company A</v>
      </c>
      <c r="C84" t="s">
        <v>10</v>
      </c>
      <c r="D84" t="s">
        <v>64</v>
      </c>
      <c r="E84" s="10" t="s">
        <v>150</v>
      </c>
      <c r="F84" s="10" t="s">
        <v>150</v>
      </c>
      <c r="G84" s="10" t="s">
        <v>150</v>
      </c>
      <c r="H84" s="10" t="s">
        <v>150</v>
      </c>
      <c r="I84" s="10" t="s">
        <v>150</v>
      </c>
      <c r="J84" s="10" t="s">
        <v>150</v>
      </c>
    </row>
    <row r="85" spans="1:11" x14ac:dyDescent="0.45">
      <c r="A85" s="5" t="str">
        <f t="shared" si="2"/>
        <v>ServerCompany B</v>
      </c>
      <c r="B85" s="5" t="str">
        <f t="shared" si="3"/>
        <v>Server Company B</v>
      </c>
      <c r="C85" t="s">
        <v>10</v>
      </c>
      <c r="D85" t="s">
        <v>53</v>
      </c>
      <c r="E85" s="10" t="s">
        <v>72</v>
      </c>
      <c r="F85" s="10" t="s">
        <v>72</v>
      </c>
      <c r="G85" s="10" t="s">
        <v>72</v>
      </c>
      <c r="H85" s="10" t="s">
        <v>72</v>
      </c>
      <c r="I85" s="10" t="s">
        <v>72</v>
      </c>
      <c r="J85" s="10" t="s">
        <v>72</v>
      </c>
    </row>
    <row r="86" spans="1:11" x14ac:dyDescent="0.45">
      <c r="A86" s="5" t="str">
        <f t="shared" si="2"/>
        <v>ServerCompany C</v>
      </c>
      <c r="B86" s="5" t="str">
        <f t="shared" si="3"/>
        <v>Server Company C</v>
      </c>
      <c r="C86" t="s">
        <v>10</v>
      </c>
      <c r="D86" t="s">
        <v>54</v>
      </c>
      <c r="E86" s="10" t="s">
        <v>413</v>
      </c>
      <c r="F86" s="10" t="s">
        <v>415</v>
      </c>
      <c r="G86" s="10" t="s">
        <v>74</v>
      </c>
      <c r="H86" s="10" t="s">
        <v>74</v>
      </c>
      <c r="I86" s="10" t="s">
        <v>74</v>
      </c>
      <c r="J86" s="10" t="s">
        <v>74</v>
      </c>
    </row>
    <row r="87" spans="1:11" x14ac:dyDescent="0.45">
      <c r="A87" s="5" t="str">
        <f t="shared" si="2"/>
        <v>ServerCompany D</v>
      </c>
      <c r="B87" s="5" t="str">
        <f t="shared" si="3"/>
        <v>Server Company D</v>
      </c>
      <c r="C87" t="s">
        <v>10</v>
      </c>
      <c r="D87" t="s">
        <v>65</v>
      </c>
      <c r="E87" s="10" t="s">
        <v>414</v>
      </c>
      <c r="F87" s="10" t="s">
        <v>416</v>
      </c>
      <c r="G87" s="10" t="s">
        <v>417</v>
      </c>
      <c r="H87" s="10" t="s">
        <v>419</v>
      </c>
      <c r="I87" s="10" t="s">
        <v>421</v>
      </c>
      <c r="J87" s="10" t="s">
        <v>423</v>
      </c>
      <c r="K87" s="10" t="s">
        <v>61</v>
      </c>
    </row>
    <row r="88" spans="1:11" x14ac:dyDescent="0.45">
      <c r="A88" s="5" t="str">
        <f t="shared" si="2"/>
        <v>ServerCompany E</v>
      </c>
      <c r="B88" s="5" t="str">
        <f t="shared" si="3"/>
        <v>Server Company E</v>
      </c>
      <c r="C88" t="s">
        <v>10</v>
      </c>
      <c r="D88" t="s">
        <v>52</v>
      </c>
      <c r="E88" s="10" t="s">
        <v>73</v>
      </c>
      <c r="F88" s="10" t="s">
        <v>73</v>
      </c>
      <c r="G88" s="10" t="s">
        <v>418</v>
      </c>
      <c r="H88" s="10" t="s">
        <v>420</v>
      </c>
      <c r="I88" s="10" t="s">
        <v>422</v>
      </c>
      <c r="J88" s="10" t="s">
        <v>424</v>
      </c>
      <c r="K88" s="10" t="s">
        <v>73</v>
      </c>
    </row>
    <row r="89" spans="1:11" x14ac:dyDescent="0.45">
      <c r="A89" s="5" t="str">
        <f t="shared" si="2"/>
        <v>ServerCompany F</v>
      </c>
      <c r="B89" s="5" t="str">
        <f t="shared" si="3"/>
        <v>Server Company F</v>
      </c>
      <c r="C89" t="s">
        <v>10</v>
      </c>
      <c r="D89" t="s">
        <v>66</v>
      </c>
      <c r="E89" s="10" t="s">
        <v>407</v>
      </c>
      <c r="F89" s="10" t="s">
        <v>408</v>
      </c>
      <c r="G89" s="10" t="s">
        <v>409</v>
      </c>
      <c r="H89" s="10" t="s">
        <v>410</v>
      </c>
      <c r="I89" s="10" t="s">
        <v>411</v>
      </c>
      <c r="J89" s="10" t="s">
        <v>412</v>
      </c>
    </row>
    <row r="90" spans="1:11" x14ac:dyDescent="0.45">
      <c r="A90" s="5" t="str">
        <f t="shared" si="2"/>
        <v>ServerCompany G</v>
      </c>
      <c r="B90" s="5" t="str">
        <f t="shared" si="3"/>
        <v>Server Company G</v>
      </c>
      <c r="C90" t="s">
        <v>10</v>
      </c>
      <c r="D90" t="s">
        <v>67</v>
      </c>
      <c r="E90" s="10" t="s">
        <v>396</v>
      </c>
      <c r="F90" s="10" t="s">
        <v>396</v>
      </c>
      <c r="G90" s="10" t="s">
        <v>396</v>
      </c>
      <c r="H90" s="10" t="s">
        <v>396</v>
      </c>
      <c r="I90" s="10" t="s">
        <v>396</v>
      </c>
      <c r="J90" s="10" t="s">
        <v>396</v>
      </c>
    </row>
    <row r="91" spans="1:11" x14ac:dyDescent="0.45">
      <c r="A91" s="5" t="str">
        <f t="shared" si="2"/>
        <v>ServerCompany H</v>
      </c>
      <c r="B91" s="5" t="str">
        <f t="shared" si="3"/>
        <v>Server Company H</v>
      </c>
      <c r="C91" t="s">
        <v>10</v>
      </c>
      <c r="D91" t="s">
        <v>68</v>
      </c>
      <c r="E91" s="10" t="s">
        <v>75</v>
      </c>
      <c r="F91" s="10" t="s">
        <v>75</v>
      </c>
      <c r="G91" s="10" t="s">
        <v>75</v>
      </c>
      <c r="H91" s="10" t="s">
        <v>75</v>
      </c>
      <c r="I91" s="10" t="s">
        <v>75</v>
      </c>
      <c r="J91" s="10" t="s">
        <v>75</v>
      </c>
    </row>
    <row r="92" spans="1:11" x14ac:dyDescent="0.45">
      <c r="A92" s="5" t="str">
        <f t="shared" si="2"/>
        <v>ServerCompany I</v>
      </c>
      <c r="B92" s="5" t="str">
        <f t="shared" si="3"/>
        <v>Server Company I</v>
      </c>
      <c r="C92" t="s">
        <v>10</v>
      </c>
      <c r="D92" t="s">
        <v>69</v>
      </c>
      <c r="E92" s="10" t="s">
        <v>397</v>
      </c>
      <c r="F92" s="10" t="s">
        <v>398</v>
      </c>
      <c r="G92" s="10" t="s">
        <v>911</v>
      </c>
      <c r="H92" s="10" t="s">
        <v>399</v>
      </c>
      <c r="I92" s="10" t="s">
        <v>984</v>
      </c>
      <c r="J92" s="10" t="s">
        <v>400</v>
      </c>
    </row>
    <row r="93" spans="1:11" x14ac:dyDescent="0.45">
      <c r="A93" s="5" t="str">
        <f t="shared" si="2"/>
        <v>ServerCompany J</v>
      </c>
      <c r="B93" s="5" t="str">
        <f t="shared" si="3"/>
        <v>Server Company J</v>
      </c>
      <c r="C93" t="s">
        <v>10</v>
      </c>
      <c r="D93" t="s">
        <v>92</v>
      </c>
      <c r="E93" s="10" t="s">
        <v>406</v>
      </c>
      <c r="F93" s="10" t="s">
        <v>405</v>
      </c>
      <c r="G93" s="10" t="s">
        <v>404</v>
      </c>
      <c r="H93" s="10" t="s">
        <v>403</v>
      </c>
      <c r="I93" s="10" t="s">
        <v>402</v>
      </c>
      <c r="J93" s="10" t="s">
        <v>401</v>
      </c>
    </row>
    <row r="94" spans="1:11" x14ac:dyDescent="0.45">
      <c r="A94" s="5" t="str">
        <f t="shared" si="2"/>
        <v/>
      </c>
      <c r="B94" s="5" t="str">
        <f t="shared" si="3"/>
        <v xml:space="preserve"> </v>
      </c>
    </row>
    <row r="95" spans="1:11" x14ac:dyDescent="0.45">
      <c r="A95" s="5" t="str">
        <f t="shared" si="2"/>
        <v>CookCompany A</v>
      </c>
      <c r="B95" s="5" t="str">
        <f t="shared" si="3"/>
        <v>Cook Company A</v>
      </c>
      <c r="C95" t="s">
        <v>209</v>
      </c>
      <c r="D95" t="s">
        <v>64</v>
      </c>
      <c r="E95" s="10" t="s">
        <v>366</v>
      </c>
      <c r="F95" s="10" t="s">
        <v>366</v>
      </c>
      <c r="G95" s="10" t="s">
        <v>366</v>
      </c>
      <c r="H95" s="10" t="s">
        <v>366</v>
      </c>
      <c r="I95" s="10" t="s">
        <v>366</v>
      </c>
      <c r="J95" s="10" t="s">
        <v>366</v>
      </c>
      <c r="K95" s="10"/>
    </row>
    <row r="96" spans="1:11" x14ac:dyDescent="0.45">
      <c r="A96" s="5" t="str">
        <f t="shared" si="2"/>
        <v>Line CookCompany B</v>
      </c>
      <c r="B96" s="5" t="str">
        <f t="shared" si="3"/>
        <v>Line Cook Company B</v>
      </c>
      <c r="C96" t="s">
        <v>348</v>
      </c>
      <c r="D96" t="s">
        <v>53</v>
      </c>
      <c r="E96" s="10" t="s">
        <v>367</v>
      </c>
      <c r="F96" s="10" t="s">
        <v>367</v>
      </c>
      <c r="G96" s="10" t="s">
        <v>367</v>
      </c>
      <c r="H96" s="10" t="s">
        <v>367</v>
      </c>
      <c r="I96" s="10" t="s">
        <v>367</v>
      </c>
      <c r="J96" s="10" t="s">
        <v>367</v>
      </c>
    </row>
    <row r="97" spans="1:11" x14ac:dyDescent="0.45">
      <c r="A97" s="5" t="str">
        <f t="shared" si="2"/>
        <v>CookCompany C</v>
      </c>
      <c r="B97" s="5" t="str">
        <f t="shared" si="3"/>
        <v>Cook Company C</v>
      </c>
      <c r="C97" t="s">
        <v>209</v>
      </c>
      <c r="D97" t="s">
        <v>54</v>
      </c>
      <c r="E97" s="10" t="s">
        <v>396</v>
      </c>
      <c r="F97" s="10" t="s">
        <v>396</v>
      </c>
      <c r="G97" s="10" t="s">
        <v>396</v>
      </c>
      <c r="H97" s="10" t="s">
        <v>396</v>
      </c>
      <c r="I97" s="10" t="s">
        <v>396</v>
      </c>
      <c r="J97" s="10" t="s">
        <v>396</v>
      </c>
      <c r="K97" s="10"/>
    </row>
    <row r="98" spans="1:11" x14ac:dyDescent="0.45">
      <c r="A98" s="5" t="str">
        <f t="shared" si="2"/>
        <v>Prep CookCompany D</v>
      </c>
      <c r="B98" s="5" t="str">
        <f t="shared" si="3"/>
        <v>Prep Cook Company D</v>
      </c>
      <c r="C98" t="s">
        <v>734</v>
      </c>
      <c r="D98" t="s">
        <v>65</v>
      </c>
      <c r="E98" s="10" t="s">
        <v>469</v>
      </c>
      <c r="F98" s="10" t="s">
        <v>469</v>
      </c>
      <c r="G98" s="10" t="s">
        <v>469</v>
      </c>
      <c r="H98" s="10" t="s">
        <v>469</v>
      </c>
      <c r="I98" s="10" t="s">
        <v>469</v>
      </c>
      <c r="J98" s="10" t="s">
        <v>469</v>
      </c>
      <c r="K98" s="10"/>
    </row>
    <row r="99" spans="1:11" x14ac:dyDescent="0.45">
      <c r="A99" s="5" t="str">
        <f t="shared" si="2"/>
        <v>Line CookCompany E</v>
      </c>
      <c r="B99" s="5" t="str">
        <f t="shared" si="3"/>
        <v>Line Cook Company E</v>
      </c>
      <c r="C99" t="s">
        <v>348</v>
      </c>
      <c r="D99" t="s">
        <v>52</v>
      </c>
      <c r="E99" s="10" t="s">
        <v>667</v>
      </c>
      <c r="F99" s="10" t="s">
        <v>667</v>
      </c>
      <c r="G99" s="10" t="s">
        <v>667</v>
      </c>
      <c r="H99" s="10" t="s">
        <v>667</v>
      </c>
      <c r="I99" s="10" t="s">
        <v>667</v>
      </c>
      <c r="J99" s="10" t="s">
        <v>667</v>
      </c>
      <c r="K99" s="10"/>
    </row>
    <row r="100" spans="1:11" x14ac:dyDescent="0.45">
      <c r="A100" s="5" t="str">
        <f t="shared" si="2"/>
        <v>CookCompany F</v>
      </c>
      <c r="B100" s="5" t="str">
        <f t="shared" si="3"/>
        <v>Cook Company F</v>
      </c>
      <c r="C100" t="s">
        <v>209</v>
      </c>
      <c r="D100" t="s">
        <v>66</v>
      </c>
      <c r="E100" s="10" t="s">
        <v>748</v>
      </c>
      <c r="F100" s="10" t="s">
        <v>746</v>
      </c>
      <c r="G100" s="10" t="s">
        <v>743</v>
      </c>
      <c r="H100" s="10" t="s">
        <v>530</v>
      </c>
      <c r="I100" s="10" t="s">
        <v>533</v>
      </c>
      <c r="J100" s="10" t="s">
        <v>535</v>
      </c>
    </row>
    <row r="101" spans="1:11" x14ac:dyDescent="0.45">
      <c r="A101" s="5" t="str">
        <f t="shared" si="2"/>
        <v>Line CookCompany G</v>
      </c>
      <c r="B101" s="5" t="str">
        <f t="shared" si="3"/>
        <v>Line Cook Company G</v>
      </c>
      <c r="C101" t="s">
        <v>348</v>
      </c>
      <c r="D101" t="s">
        <v>67</v>
      </c>
      <c r="E101" s="10" t="s">
        <v>72</v>
      </c>
      <c r="F101" s="10" t="s">
        <v>72</v>
      </c>
      <c r="G101" s="10" t="s">
        <v>72</v>
      </c>
      <c r="H101" s="10" t="s">
        <v>72</v>
      </c>
      <c r="I101" s="10" t="s">
        <v>72</v>
      </c>
      <c r="J101" s="10" t="s">
        <v>72</v>
      </c>
    </row>
    <row r="102" spans="1:11" x14ac:dyDescent="0.45">
      <c r="A102" s="5" t="str">
        <f t="shared" si="2"/>
        <v>CookCompany H</v>
      </c>
      <c r="B102" s="5" t="str">
        <f t="shared" si="3"/>
        <v>Cook Company H</v>
      </c>
      <c r="C102" t="s">
        <v>209</v>
      </c>
      <c r="D102" t="s">
        <v>68</v>
      </c>
      <c r="E102" s="10" t="s">
        <v>739</v>
      </c>
      <c r="F102" s="10" t="s">
        <v>740</v>
      </c>
      <c r="G102" s="10" t="s">
        <v>738</v>
      </c>
      <c r="H102" s="10" t="s">
        <v>737</v>
      </c>
      <c r="I102" s="10" t="s">
        <v>735</v>
      </c>
      <c r="J102" s="10" t="s">
        <v>736</v>
      </c>
    </row>
    <row r="103" spans="1:11" x14ac:dyDescent="0.45">
      <c r="A103" s="5" t="str">
        <f t="shared" si="2"/>
        <v>CookCompany I</v>
      </c>
      <c r="B103" s="5" t="str">
        <f t="shared" si="3"/>
        <v>Cook Company I</v>
      </c>
      <c r="C103" t="s">
        <v>209</v>
      </c>
      <c r="D103" t="s">
        <v>69</v>
      </c>
      <c r="E103" s="10" t="s">
        <v>495</v>
      </c>
      <c r="F103" s="10" t="s">
        <v>747</v>
      </c>
      <c r="G103" s="10" t="s">
        <v>744</v>
      </c>
      <c r="H103" s="10" t="s">
        <v>745</v>
      </c>
      <c r="I103" s="10" t="s">
        <v>742</v>
      </c>
      <c r="J103" s="10" t="s">
        <v>741</v>
      </c>
    </row>
    <row r="104" spans="1:11" x14ac:dyDescent="0.45">
      <c r="A104" s="5" t="str">
        <f t="shared" si="2"/>
        <v>Line CookCompany J</v>
      </c>
      <c r="B104" s="5" t="str">
        <f t="shared" si="3"/>
        <v>Line Cook Company J</v>
      </c>
      <c r="C104" t="s">
        <v>348</v>
      </c>
      <c r="D104" t="s">
        <v>92</v>
      </c>
      <c r="E104" s="10" t="s">
        <v>749</v>
      </c>
      <c r="F104" s="10" t="s">
        <v>750</v>
      </c>
      <c r="G104" s="10" t="s">
        <v>749</v>
      </c>
      <c r="H104" s="10" t="s">
        <v>751</v>
      </c>
      <c r="I104" s="10" t="s">
        <v>749</v>
      </c>
      <c r="J104" s="10" t="s">
        <v>751</v>
      </c>
    </row>
    <row r="105" spans="1:11" x14ac:dyDescent="0.45">
      <c r="A105" s="5" t="str">
        <f t="shared" si="2"/>
        <v/>
      </c>
      <c r="B105" s="5" t="str">
        <f t="shared" si="3"/>
        <v xml:space="preserve"> </v>
      </c>
    </row>
    <row r="106" spans="1:11" x14ac:dyDescent="0.45">
      <c r="A106" s="5" t="str">
        <f t="shared" si="2"/>
        <v>BakerCompany A</v>
      </c>
      <c r="B106" s="5" t="str">
        <f t="shared" si="3"/>
        <v>Baker Company A</v>
      </c>
      <c r="C106" t="s">
        <v>210</v>
      </c>
      <c r="D106" t="s">
        <v>64</v>
      </c>
      <c r="E106" s="10" t="s">
        <v>612</v>
      </c>
      <c r="F106" s="10" t="s">
        <v>613</v>
      </c>
      <c r="G106" s="10" t="s">
        <v>613</v>
      </c>
      <c r="H106" s="10" t="s">
        <v>613</v>
      </c>
      <c r="I106" s="10" t="s">
        <v>613</v>
      </c>
      <c r="J106" s="10" t="s">
        <v>613</v>
      </c>
    </row>
    <row r="107" spans="1:11" x14ac:dyDescent="0.45">
      <c r="A107" s="5" t="str">
        <f t="shared" si="2"/>
        <v>BakerCompany B</v>
      </c>
      <c r="B107" s="5" t="str">
        <f t="shared" si="3"/>
        <v>Baker Company B</v>
      </c>
      <c r="C107" t="s">
        <v>210</v>
      </c>
      <c r="D107" t="s">
        <v>53</v>
      </c>
      <c r="E107" s="10" t="s">
        <v>820</v>
      </c>
      <c r="F107" s="10" t="s">
        <v>823</v>
      </c>
      <c r="G107" s="10" t="s">
        <v>834</v>
      </c>
      <c r="H107" s="10" t="s">
        <v>834</v>
      </c>
      <c r="I107" s="10" t="s">
        <v>834</v>
      </c>
      <c r="J107" s="10" t="s">
        <v>834</v>
      </c>
    </row>
    <row r="108" spans="1:11" x14ac:dyDescent="0.45">
      <c r="A108" s="5" t="str">
        <f t="shared" si="2"/>
        <v>BakerCompany C</v>
      </c>
      <c r="B108" s="5" t="str">
        <f t="shared" si="3"/>
        <v>Baker Company C</v>
      </c>
      <c r="C108" t="s">
        <v>210</v>
      </c>
      <c r="D108" t="s">
        <v>54</v>
      </c>
      <c r="E108" s="10" t="s">
        <v>818</v>
      </c>
      <c r="F108" s="10" t="s">
        <v>824</v>
      </c>
      <c r="G108" s="10" t="s">
        <v>818</v>
      </c>
      <c r="H108" s="10" t="s">
        <v>818</v>
      </c>
      <c r="I108" s="10" t="s">
        <v>818</v>
      </c>
      <c r="J108" s="10" t="s">
        <v>818</v>
      </c>
    </row>
    <row r="109" spans="1:11" x14ac:dyDescent="0.45">
      <c r="A109" s="5" t="str">
        <f t="shared" si="2"/>
        <v>BakerCompany D</v>
      </c>
      <c r="B109" s="5" t="str">
        <f t="shared" si="3"/>
        <v>Baker Company D</v>
      </c>
      <c r="C109" t="s">
        <v>210</v>
      </c>
      <c r="D109" t="s">
        <v>65</v>
      </c>
      <c r="E109" s="10" t="s">
        <v>185</v>
      </c>
      <c r="F109" s="10" t="s">
        <v>185</v>
      </c>
      <c r="G109" s="10" t="s">
        <v>185</v>
      </c>
      <c r="H109" s="10" t="s">
        <v>185</v>
      </c>
      <c r="I109" s="10" t="s">
        <v>186</v>
      </c>
      <c r="J109" s="10" t="s">
        <v>187</v>
      </c>
    </row>
    <row r="110" spans="1:11" x14ac:dyDescent="0.45">
      <c r="A110" s="5" t="str">
        <f t="shared" si="2"/>
        <v>BakerCompany E</v>
      </c>
      <c r="B110" s="5" t="str">
        <f t="shared" si="3"/>
        <v>Baker Company E</v>
      </c>
      <c r="C110" t="s">
        <v>210</v>
      </c>
      <c r="D110" t="s">
        <v>52</v>
      </c>
      <c r="E110" s="10" t="s">
        <v>819</v>
      </c>
      <c r="F110" s="10" t="s">
        <v>826</v>
      </c>
      <c r="G110" s="10" t="s">
        <v>835</v>
      </c>
      <c r="H110" s="10" t="s">
        <v>839</v>
      </c>
      <c r="I110" s="10" t="s">
        <v>842</v>
      </c>
      <c r="J110" s="10" t="s">
        <v>844</v>
      </c>
    </row>
    <row r="111" spans="1:11" x14ac:dyDescent="0.45">
      <c r="A111" s="5" t="str">
        <f t="shared" si="2"/>
        <v>BakerCompany F</v>
      </c>
      <c r="B111" s="5" t="str">
        <f t="shared" si="3"/>
        <v>Baker Company F</v>
      </c>
      <c r="C111" t="s">
        <v>210</v>
      </c>
      <c r="D111" t="s">
        <v>66</v>
      </c>
      <c r="E111" s="10" t="s">
        <v>829</v>
      </c>
      <c r="F111" s="10" t="s">
        <v>825</v>
      </c>
      <c r="G111" s="10" t="s">
        <v>831</v>
      </c>
      <c r="H111" s="10" t="s">
        <v>837</v>
      </c>
      <c r="I111" s="10" t="s">
        <v>841</v>
      </c>
      <c r="J111" s="10" t="s">
        <v>847</v>
      </c>
    </row>
    <row r="112" spans="1:11" x14ac:dyDescent="0.45">
      <c r="A112" s="5" t="str">
        <f t="shared" si="2"/>
        <v>BakerCompany G</v>
      </c>
      <c r="B112" s="5" t="str">
        <f t="shared" si="3"/>
        <v>Baker Company G</v>
      </c>
      <c r="C112" t="s">
        <v>210</v>
      </c>
      <c r="D112" t="s">
        <v>67</v>
      </c>
      <c r="E112" s="10" t="s">
        <v>809</v>
      </c>
      <c r="F112" s="10" t="s">
        <v>809</v>
      </c>
      <c r="G112" s="10" t="s">
        <v>848</v>
      </c>
      <c r="H112" s="10" t="s">
        <v>848</v>
      </c>
      <c r="I112" s="10" t="s">
        <v>392</v>
      </c>
      <c r="J112" s="10" t="s">
        <v>392</v>
      </c>
    </row>
    <row r="113" spans="1:11" x14ac:dyDescent="0.45">
      <c r="A113" s="5" t="str">
        <f t="shared" si="2"/>
        <v>BakerCompany H</v>
      </c>
      <c r="B113" s="5" t="str">
        <f t="shared" si="3"/>
        <v>Baker Company H</v>
      </c>
      <c r="C113" t="s">
        <v>210</v>
      </c>
      <c r="D113" t="s">
        <v>68</v>
      </c>
      <c r="E113" s="10" t="s">
        <v>145</v>
      </c>
      <c r="F113" s="10" t="s">
        <v>145</v>
      </c>
      <c r="G113" s="10" t="s">
        <v>830</v>
      </c>
      <c r="H113" s="10" t="s">
        <v>830</v>
      </c>
      <c r="I113" s="10" t="s">
        <v>145</v>
      </c>
      <c r="J113" s="10" t="s">
        <v>145</v>
      </c>
    </row>
    <row r="114" spans="1:11" x14ac:dyDescent="0.45">
      <c r="A114" s="5" t="str">
        <f t="shared" si="2"/>
        <v>BakerCompany I</v>
      </c>
      <c r="B114" s="5" t="str">
        <f t="shared" si="3"/>
        <v>Baker Company I</v>
      </c>
      <c r="C114" t="s">
        <v>210</v>
      </c>
      <c r="D114" t="s">
        <v>69</v>
      </c>
      <c r="E114" s="10" t="s">
        <v>828</v>
      </c>
      <c r="F114" s="10" t="s">
        <v>827</v>
      </c>
      <c r="G114" s="10" t="s">
        <v>833</v>
      </c>
      <c r="H114" s="10" t="s">
        <v>838</v>
      </c>
      <c r="I114" s="10" t="s">
        <v>843</v>
      </c>
      <c r="J114" s="10" t="s">
        <v>845</v>
      </c>
    </row>
    <row r="115" spans="1:11" x14ac:dyDescent="0.45">
      <c r="A115" s="5" t="str">
        <f t="shared" si="2"/>
        <v>BakerCompany J</v>
      </c>
      <c r="B115" s="5" t="str">
        <f t="shared" si="3"/>
        <v>Baker Company J</v>
      </c>
      <c r="C115" t="s">
        <v>210</v>
      </c>
      <c r="D115" t="s">
        <v>92</v>
      </c>
      <c r="E115" s="10" t="s">
        <v>821</v>
      </c>
      <c r="F115" s="10" t="s">
        <v>822</v>
      </c>
      <c r="G115" s="10" t="s">
        <v>832</v>
      </c>
      <c r="H115" s="10" t="s">
        <v>836</v>
      </c>
      <c r="I115" s="10" t="s">
        <v>840</v>
      </c>
      <c r="J115" s="10" t="s">
        <v>846</v>
      </c>
    </row>
    <row r="116" spans="1:11" x14ac:dyDescent="0.45">
      <c r="A116" s="5" t="str">
        <f t="shared" si="2"/>
        <v/>
      </c>
      <c r="B116" s="5" t="str">
        <f t="shared" si="3"/>
        <v xml:space="preserve"> </v>
      </c>
    </row>
    <row r="117" spans="1:11" x14ac:dyDescent="0.45">
      <c r="A117" s="5" t="str">
        <f t="shared" si="2"/>
        <v>AssemblerCompany A</v>
      </c>
      <c r="B117" s="5" t="str">
        <f t="shared" si="3"/>
        <v>Assembler Company A</v>
      </c>
      <c r="C117" t="s">
        <v>211</v>
      </c>
      <c r="D117" t="s">
        <v>64</v>
      </c>
      <c r="E117" s="10" t="s">
        <v>350</v>
      </c>
      <c r="F117" s="10" t="s">
        <v>316</v>
      </c>
      <c r="G117" s="10" t="s">
        <v>985</v>
      </c>
      <c r="H117" s="10" t="s">
        <v>985</v>
      </c>
      <c r="I117" s="10" t="s">
        <v>351</v>
      </c>
      <c r="J117" s="10" t="s">
        <v>352</v>
      </c>
      <c r="K117" s="21"/>
    </row>
    <row r="118" spans="1:11" x14ac:dyDescent="0.45">
      <c r="A118" s="5" t="str">
        <f t="shared" si="2"/>
        <v>AssemblerCompany B</v>
      </c>
      <c r="B118" s="5" t="str">
        <f t="shared" si="3"/>
        <v>Assembler Company B</v>
      </c>
      <c r="C118" t="s">
        <v>211</v>
      </c>
      <c r="D118" t="s">
        <v>53</v>
      </c>
      <c r="E118" s="10" t="s">
        <v>604</v>
      </c>
      <c r="F118" s="10" t="s">
        <v>605</v>
      </c>
      <c r="G118" s="10" t="s">
        <v>606</v>
      </c>
      <c r="H118" s="10" t="s">
        <v>607</v>
      </c>
      <c r="I118" s="10" t="s">
        <v>608</v>
      </c>
      <c r="J118" s="10" t="s">
        <v>609</v>
      </c>
    </row>
    <row r="119" spans="1:11" x14ac:dyDescent="0.45">
      <c r="A119" s="5" t="str">
        <f t="shared" si="2"/>
        <v>AssemblerCompany C</v>
      </c>
      <c r="B119" s="5" t="str">
        <f t="shared" si="3"/>
        <v>Assembler Company C</v>
      </c>
      <c r="C119" t="s">
        <v>211</v>
      </c>
      <c r="D119" t="s">
        <v>54</v>
      </c>
      <c r="E119" s="10" t="s">
        <v>694</v>
      </c>
      <c r="F119" s="10" t="s">
        <v>702</v>
      </c>
      <c r="G119" s="10" t="s">
        <v>713</v>
      </c>
      <c r="H119" s="10" t="s">
        <v>717</v>
      </c>
      <c r="I119" s="10" t="s">
        <v>728</v>
      </c>
      <c r="J119" s="10" t="s">
        <v>855</v>
      </c>
    </row>
    <row r="120" spans="1:11" x14ac:dyDescent="0.45">
      <c r="A120" s="5" t="str">
        <f t="shared" si="2"/>
        <v>AssemblerCompany D</v>
      </c>
      <c r="B120" s="5" t="str">
        <f t="shared" si="3"/>
        <v>Assembler Company D</v>
      </c>
      <c r="C120" t="s">
        <v>211</v>
      </c>
      <c r="D120" t="s">
        <v>65</v>
      </c>
      <c r="E120" s="10" t="s">
        <v>693</v>
      </c>
      <c r="F120" s="10" t="s">
        <v>701</v>
      </c>
      <c r="G120" s="10" t="s">
        <v>712</v>
      </c>
      <c r="H120" s="10" t="s">
        <v>721</v>
      </c>
      <c r="I120" s="10" t="s">
        <v>722</v>
      </c>
      <c r="J120" s="10" t="s">
        <v>731</v>
      </c>
    </row>
    <row r="121" spans="1:11" x14ac:dyDescent="0.45">
      <c r="A121" s="5" t="str">
        <f t="shared" si="2"/>
        <v>AssemblerCompany E</v>
      </c>
      <c r="B121" s="5" t="str">
        <f t="shared" si="3"/>
        <v>Assembler Company E</v>
      </c>
      <c r="C121" t="s">
        <v>211</v>
      </c>
      <c r="D121" t="s">
        <v>52</v>
      </c>
      <c r="E121" s="10" t="s">
        <v>698</v>
      </c>
      <c r="F121" s="10" t="s">
        <v>699</v>
      </c>
      <c r="G121" s="10" t="s">
        <v>707</v>
      </c>
      <c r="H121" s="10" t="s">
        <v>714</v>
      </c>
      <c r="I121" s="10" t="s">
        <v>723</v>
      </c>
      <c r="J121" s="10" t="s">
        <v>729</v>
      </c>
    </row>
    <row r="122" spans="1:11" x14ac:dyDescent="0.45">
      <c r="A122" s="5" t="str">
        <f t="shared" si="2"/>
        <v>AssemblerCompany F</v>
      </c>
      <c r="B122" s="5" t="str">
        <f t="shared" si="3"/>
        <v>Assembler Company F</v>
      </c>
      <c r="C122" t="s">
        <v>211</v>
      </c>
      <c r="D122" t="s">
        <v>66</v>
      </c>
      <c r="E122" s="10" t="s">
        <v>696</v>
      </c>
      <c r="F122" s="10" t="s">
        <v>700</v>
      </c>
      <c r="G122" s="10" t="s">
        <v>708</v>
      </c>
      <c r="H122" s="10" t="s">
        <v>716</v>
      </c>
      <c r="I122" s="10" t="s">
        <v>724</v>
      </c>
      <c r="J122" s="10" t="s">
        <v>730</v>
      </c>
    </row>
    <row r="123" spans="1:11" x14ac:dyDescent="0.45">
      <c r="A123" s="5" t="str">
        <f t="shared" si="2"/>
        <v>AssemblerCompany G</v>
      </c>
      <c r="B123" s="5" t="str">
        <f t="shared" si="3"/>
        <v>Assembler Company G</v>
      </c>
      <c r="C123" t="s">
        <v>211</v>
      </c>
      <c r="D123" t="s">
        <v>67</v>
      </c>
      <c r="E123" s="10" t="s">
        <v>697</v>
      </c>
      <c r="F123" s="10" t="s">
        <v>703</v>
      </c>
      <c r="G123" s="10" t="s">
        <v>709</v>
      </c>
      <c r="H123" s="10" t="s">
        <v>718</v>
      </c>
      <c r="I123" s="10" t="s">
        <v>727</v>
      </c>
      <c r="J123" s="10" t="s">
        <v>732</v>
      </c>
    </row>
    <row r="124" spans="1:11" x14ac:dyDescent="0.45">
      <c r="A124" s="5" t="str">
        <f t="shared" si="2"/>
        <v>AssemblerCompany I</v>
      </c>
      <c r="B124" s="5" t="str">
        <f t="shared" si="3"/>
        <v>Assembler Company I</v>
      </c>
      <c r="C124" t="s">
        <v>211</v>
      </c>
      <c r="D124" t="s">
        <v>69</v>
      </c>
      <c r="E124" s="10" t="s">
        <v>695</v>
      </c>
      <c r="F124" s="10" t="s">
        <v>704</v>
      </c>
      <c r="G124" s="10" t="s">
        <v>711</v>
      </c>
      <c r="H124" s="10" t="s">
        <v>719</v>
      </c>
      <c r="I124" s="10" t="s">
        <v>725</v>
      </c>
      <c r="J124" s="10" t="s">
        <v>733</v>
      </c>
    </row>
    <row r="125" spans="1:11" x14ac:dyDescent="0.45">
      <c r="A125" s="5" t="str">
        <f t="shared" si="2"/>
        <v>AssemblerCompany J</v>
      </c>
      <c r="B125" s="5" t="str">
        <f t="shared" si="3"/>
        <v>Assembler Company J</v>
      </c>
      <c r="C125" t="s">
        <v>211</v>
      </c>
      <c r="D125" t="s">
        <v>92</v>
      </c>
      <c r="E125" s="10" t="s">
        <v>706</v>
      </c>
      <c r="F125" s="10" t="s">
        <v>388</v>
      </c>
      <c r="G125" s="10" t="s">
        <v>720</v>
      </c>
      <c r="H125" s="10" t="s">
        <v>720</v>
      </c>
      <c r="I125" s="10" t="s">
        <v>333</v>
      </c>
      <c r="J125" s="10" t="s">
        <v>333</v>
      </c>
    </row>
    <row r="126" spans="1:11" x14ac:dyDescent="0.45">
      <c r="A126" s="5" t="str">
        <f t="shared" si="2"/>
        <v>AssemblerCompany K</v>
      </c>
      <c r="B126" s="5" t="str">
        <f t="shared" si="3"/>
        <v>Assembler Company K</v>
      </c>
      <c r="C126" t="s">
        <v>211</v>
      </c>
      <c r="D126" t="s">
        <v>204</v>
      </c>
      <c r="E126" s="10" t="s">
        <v>352</v>
      </c>
      <c r="F126" s="10" t="s">
        <v>705</v>
      </c>
      <c r="G126" s="10" t="s">
        <v>710</v>
      </c>
      <c r="H126" s="10" t="s">
        <v>715</v>
      </c>
      <c r="I126" s="10" t="s">
        <v>726</v>
      </c>
      <c r="J126" s="10" t="s">
        <v>352</v>
      </c>
    </row>
    <row r="127" spans="1:11" x14ac:dyDescent="0.45">
      <c r="A127" s="5" t="str">
        <f t="shared" si="2"/>
        <v/>
      </c>
      <c r="B127" s="5" t="str">
        <f t="shared" si="3"/>
        <v xml:space="preserve"> </v>
      </c>
    </row>
    <row r="128" spans="1:11" x14ac:dyDescent="0.45">
      <c r="A128" s="5" t="str">
        <f t="shared" si="2"/>
        <v>Construction WorkerCompany A</v>
      </c>
      <c r="B128" s="5" t="str">
        <f t="shared" si="3"/>
        <v>Construction Worker Company A</v>
      </c>
      <c r="C128" t="s">
        <v>212</v>
      </c>
      <c r="D128" t="s">
        <v>64</v>
      </c>
      <c r="E128" s="10" t="s">
        <v>476</v>
      </c>
      <c r="F128" s="10" t="s">
        <v>477</v>
      </c>
      <c r="G128" s="10" t="s">
        <v>478</v>
      </c>
      <c r="H128" s="10" t="s">
        <v>479</v>
      </c>
      <c r="I128" s="10" t="s">
        <v>480</v>
      </c>
      <c r="J128" s="10" t="s">
        <v>481</v>
      </c>
    </row>
    <row r="129" spans="1:17" x14ac:dyDescent="0.45">
      <c r="A129" s="5" t="str">
        <f t="shared" si="2"/>
        <v>Construction WorkerCompany B</v>
      </c>
      <c r="B129" s="5" t="str">
        <f t="shared" si="3"/>
        <v>Construction Worker Company B</v>
      </c>
      <c r="C129" t="s">
        <v>212</v>
      </c>
      <c r="D129" t="s">
        <v>53</v>
      </c>
      <c r="E129" s="10" t="s">
        <v>859</v>
      </c>
      <c r="F129" s="10" t="s">
        <v>865</v>
      </c>
      <c r="G129" s="10" t="s">
        <v>872</v>
      </c>
      <c r="H129" s="10" t="s">
        <v>879</v>
      </c>
      <c r="I129" s="10" t="s">
        <v>883</v>
      </c>
      <c r="J129" s="10" t="s">
        <v>895</v>
      </c>
    </row>
    <row r="130" spans="1:17" x14ac:dyDescent="0.45">
      <c r="A130" s="5" t="str">
        <f t="shared" ref="A130:A193" si="4">C130&amp;D130</f>
        <v>Construction WorkerCompany C</v>
      </c>
      <c r="B130" s="5" t="str">
        <f t="shared" ref="B130:B193" si="5">C130&amp;" "&amp;D130</f>
        <v>Construction Worker Company C</v>
      </c>
      <c r="C130" t="s">
        <v>212</v>
      </c>
      <c r="D130" t="s">
        <v>54</v>
      </c>
      <c r="E130" s="10" t="s">
        <v>864</v>
      </c>
      <c r="F130" s="10" t="s">
        <v>866</v>
      </c>
      <c r="G130" s="10" t="s">
        <v>873</v>
      </c>
      <c r="H130" s="10" t="s">
        <v>880</v>
      </c>
      <c r="I130" s="10" t="s">
        <v>884</v>
      </c>
      <c r="J130" s="10" t="s">
        <v>896</v>
      </c>
    </row>
    <row r="131" spans="1:17" x14ac:dyDescent="0.45">
      <c r="A131" s="5" t="str">
        <f t="shared" si="4"/>
        <v>Construction WorkerCompany D</v>
      </c>
      <c r="B131" s="5" t="str">
        <f t="shared" si="5"/>
        <v>Construction Worker Company D</v>
      </c>
      <c r="C131" t="s">
        <v>212</v>
      </c>
      <c r="D131" t="s">
        <v>65</v>
      </c>
      <c r="E131" s="10" t="s">
        <v>862</v>
      </c>
      <c r="F131" s="10" t="s">
        <v>871</v>
      </c>
      <c r="G131" s="10" t="s">
        <v>874</v>
      </c>
      <c r="H131" s="10" t="s">
        <v>487</v>
      </c>
      <c r="I131" s="10" t="s">
        <v>885</v>
      </c>
      <c r="J131" s="10" t="s">
        <v>897</v>
      </c>
    </row>
    <row r="132" spans="1:17" x14ac:dyDescent="0.45">
      <c r="A132" s="5" t="str">
        <f t="shared" si="4"/>
        <v>Construction WorkerCompany E</v>
      </c>
      <c r="B132" s="5" t="str">
        <f t="shared" si="5"/>
        <v>Construction Worker Company E</v>
      </c>
      <c r="C132" t="s">
        <v>212</v>
      </c>
      <c r="D132" t="s">
        <v>52</v>
      </c>
      <c r="E132" s="10" t="s">
        <v>630</v>
      </c>
      <c r="F132" s="10" t="s">
        <v>630</v>
      </c>
      <c r="G132" s="10" t="s">
        <v>630</v>
      </c>
      <c r="H132" s="10" t="s">
        <v>630</v>
      </c>
      <c r="I132" s="10" t="s">
        <v>630</v>
      </c>
      <c r="J132" s="10" t="s">
        <v>630</v>
      </c>
    </row>
    <row r="133" spans="1:17" x14ac:dyDescent="0.45">
      <c r="A133" s="5" t="str">
        <f t="shared" si="4"/>
        <v>Construction WorkerCompany F</v>
      </c>
      <c r="B133" s="5" t="str">
        <f t="shared" si="5"/>
        <v>Construction Worker Company F</v>
      </c>
      <c r="C133" t="s">
        <v>212</v>
      </c>
      <c r="D133" t="s">
        <v>66</v>
      </c>
      <c r="E133" s="10" t="s">
        <v>475</v>
      </c>
      <c r="F133" s="10" t="s">
        <v>475</v>
      </c>
      <c r="G133" s="10" t="s">
        <v>475</v>
      </c>
      <c r="H133" s="10" t="s">
        <v>475</v>
      </c>
      <c r="I133" s="10" t="s">
        <v>475</v>
      </c>
      <c r="J133" s="10" t="s">
        <v>475</v>
      </c>
    </row>
    <row r="134" spans="1:17" x14ac:dyDescent="0.45">
      <c r="A134" s="5" t="str">
        <f t="shared" si="4"/>
        <v>Construction WorkerCompany L</v>
      </c>
      <c r="B134" s="5" t="str">
        <f t="shared" si="5"/>
        <v>Construction Worker Company L</v>
      </c>
      <c r="C134" t="s">
        <v>212</v>
      </c>
      <c r="D134" t="s">
        <v>205</v>
      </c>
      <c r="E134" s="10" t="s">
        <v>863</v>
      </c>
      <c r="F134" s="10" t="s">
        <v>870</v>
      </c>
      <c r="G134" s="10" t="s">
        <v>877</v>
      </c>
      <c r="H134" s="10" t="s">
        <v>881</v>
      </c>
      <c r="I134" s="10" t="s">
        <v>889</v>
      </c>
      <c r="J134" s="10" t="s">
        <v>890</v>
      </c>
    </row>
    <row r="135" spans="1:17" x14ac:dyDescent="0.45">
      <c r="A135" s="5" t="str">
        <f t="shared" si="4"/>
        <v>Construction WorkerCompany H</v>
      </c>
      <c r="B135" s="5" t="str">
        <f t="shared" si="5"/>
        <v>Construction Worker Company H</v>
      </c>
      <c r="C135" t="s">
        <v>212</v>
      </c>
      <c r="D135" t="s">
        <v>68</v>
      </c>
      <c r="E135" s="10" t="s">
        <v>860</v>
      </c>
      <c r="F135" s="10" t="s">
        <v>867</v>
      </c>
      <c r="G135" s="10" t="s">
        <v>876</v>
      </c>
      <c r="H135" s="10" t="s">
        <v>873</v>
      </c>
      <c r="I135" s="10" t="s">
        <v>886</v>
      </c>
      <c r="J135" s="10" t="s">
        <v>899</v>
      </c>
    </row>
    <row r="136" spans="1:17" x14ac:dyDescent="0.45">
      <c r="A136" s="5" t="str">
        <f t="shared" si="4"/>
        <v>Construction WorkerCompany I</v>
      </c>
      <c r="B136" s="5" t="str">
        <f t="shared" si="5"/>
        <v>Construction Worker Company I</v>
      </c>
      <c r="C136" t="s">
        <v>212</v>
      </c>
      <c r="D136" t="s">
        <v>69</v>
      </c>
      <c r="E136" s="10" t="s">
        <v>861</v>
      </c>
      <c r="F136" s="10" t="s">
        <v>868</v>
      </c>
      <c r="G136" s="10" t="s">
        <v>878</v>
      </c>
      <c r="H136" s="10" t="s">
        <v>878</v>
      </c>
      <c r="I136" s="10" t="s">
        <v>887</v>
      </c>
      <c r="J136" s="10" t="s">
        <v>898</v>
      </c>
    </row>
    <row r="137" spans="1:17" x14ac:dyDescent="0.45">
      <c r="A137" s="5" t="str">
        <f t="shared" si="4"/>
        <v>Construction WorkerCompany J</v>
      </c>
      <c r="B137" s="5" t="str">
        <f t="shared" si="5"/>
        <v>Construction Worker Company J</v>
      </c>
      <c r="C137" t="s">
        <v>212</v>
      </c>
      <c r="D137" t="s">
        <v>92</v>
      </c>
      <c r="E137" s="10" t="s">
        <v>858</v>
      </c>
      <c r="F137" s="10" t="s">
        <v>869</v>
      </c>
      <c r="G137" s="10" t="s">
        <v>875</v>
      </c>
      <c r="H137" s="10" t="s">
        <v>882</v>
      </c>
      <c r="I137" s="10" t="s">
        <v>888</v>
      </c>
      <c r="J137" s="10" t="s">
        <v>891</v>
      </c>
    </row>
    <row r="138" spans="1:17" x14ac:dyDescent="0.45">
      <c r="A138" s="5" t="str">
        <f t="shared" si="4"/>
        <v/>
      </c>
      <c r="B138" s="5" t="str">
        <f t="shared" si="5"/>
        <v xml:space="preserve"> </v>
      </c>
    </row>
    <row r="139" spans="1:17" x14ac:dyDescent="0.45">
      <c r="A139" s="5" t="str">
        <f t="shared" si="4"/>
        <v>Truck DriverCompany A</v>
      </c>
      <c r="B139" s="5" t="str">
        <f t="shared" si="5"/>
        <v>Truck Driver Company A</v>
      </c>
      <c r="C139" t="s">
        <v>213</v>
      </c>
      <c r="D139" t="s">
        <v>64</v>
      </c>
      <c r="E139" s="10" t="s">
        <v>446</v>
      </c>
      <c r="F139" s="10" t="s">
        <v>452</v>
      </c>
      <c r="G139" s="10" t="s">
        <v>446</v>
      </c>
      <c r="H139" s="10" t="s">
        <v>446</v>
      </c>
      <c r="I139" s="10" t="s">
        <v>455</v>
      </c>
      <c r="J139" s="10" t="s">
        <v>459</v>
      </c>
    </row>
    <row r="140" spans="1:17" x14ac:dyDescent="0.45">
      <c r="A140" s="5" t="str">
        <f t="shared" si="4"/>
        <v>OTR Truck DriverCompany B</v>
      </c>
      <c r="B140" s="5" t="str">
        <f t="shared" si="5"/>
        <v>OTR Truck Driver Company B</v>
      </c>
      <c r="C140" t="s">
        <v>555</v>
      </c>
      <c r="D140" t="s">
        <v>53</v>
      </c>
      <c r="E140" s="10" t="s">
        <v>448</v>
      </c>
      <c r="F140" s="10" t="s">
        <v>450</v>
      </c>
      <c r="G140" s="10" t="s">
        <v>454</v>
      </c>
      <c r="H140" s="10" t="s">
        <v>454</v>
      </c>
      <c r="I140" s="10" t="s">
        <v>458</v>
      </c>
      <c r="J140" s="10" t="s">
        <v>460</v>
      </c>
    </row>
    <row r="141" spans="1:17" x14ac:dyDescent="0.45">
      <c r="A141" s="5" t="str">
        <f t="shared" si="4"/>
        <v>OTR Truck DriverCompany C</v>
      </c>
      <c r="B141" s="5" t="str">
        <f t="shared" si="5"/>
        <v>OTR Truck Driver Company C</v>
      </c>
      <c r="C141" t="s">
        <v>555</v>
      </c>
      <c r="D141" t="s">
        <v>54</v>
      </c>
      <c r="E141" s="10" t="s">
        <v>445</v>
      </c>
      <c r="F141" s="10" t="s">
        <v>449</v>
      </c>
      <c r="G141" s="10" t="s">
        <v>453</v>
      </c>
      <c r="H141" s="10" t="s">
        <v>453</v>
      </c>
      <c r="I141" s="10" t="s">
        <v>457</v>
      </c>
      <c r="J141" s="10" t="s">
        <v>457</v>
      </c>
    </row>
    <row r="142" spans="1:17" x14ac:dyDescent="0.45">
      <c r="A142" s="5" t="str">
        <f t="shared" si="4"/>
        <v>Truck DriverCompany D</v>
      </c>
      <c r="B142" s="5" t="str">
        <f t="shared" si="5"/>
        <v>Truck Driver Company D</v>
      </c>
      <c r="C142" t="s">
        <v>213</v>
      </c>
      <c r="D142" t="s">
        <v>65</v>
      </c>
      <c r="E142" s="10" t="s">
        <v>447</v>
      </c>
      <c r="F142" s="10" t="s">
        <v>451</v>
      </c>
      <c r="G142" s="10" t="s">
        <v>447</v>
      </c>
      <c r="H142" s="10" t="s">
        <v>447</v>
      </c>
      <c r="I142" s="10" t="s">
        <v>456</v>
      </c>
      <c r="J142" s="10" t="s">
        <v>447</v>
      </c>
    </row>
    <row r="143" spans="1:17" x14ac:dyDescent="0.45">
      <c r="A143" s="5" t="str">
        <f t="shared" si="4"/>
        <v>Delivery DriverCompany A</v>
      </c>
      <c r="B143" s="5" t="str">
        <f t="shared" si="5"/>
        <v>Delivery Driver Company A</v>
      </c>
      <c r="C143" t="s">
        <v>217</v>
      </c>
      <c r="D143" t="s">
        <v>64</v>
      </c>
      <c r="E143" s="10" t="s">
        <v>241</v>
      </c>
      <c r="F143" s="10" t="s">
        <v>241</v>
      </c>
      <c r="G143" s="10" t="s">
        <v>241</v>
      </c>
      <c r="H143" s="10" t="s">
        <v>241</v>
      </c>
      <c r="I143" s="10" t="s">
        <v>241</v>
      </c>
      <c r="J143" s="10" t="s">
        <v>241</v>
      </c>
      <c r="L143" s="10"/>
      <c r="M143" s="10"/>
      <c r="N143" s="10"/>
      <c r="O143" s="10"/>
      <c r="P143" s="10"/>
      <c r="Q143" s="10"/>
    </row>
    <row r="144" spans="1:17" x14ac:dyDescent="0.45">
      <c r="A144" s="5" t="str">
        <f t="shared" si="4"/>
        <v>Delivery DriverCompany B</v>
      </c>
      <c r="B144" s="5" t="str">
        <f t="shared" si="5"/>
        <v>Delivery Driver Company B</v>
      </c>
      <c r="C144" t="s">
        <v>217</v>
      </c>
      <c r="D144" t="s">
        <v>53</v>
      </c>
      <c r="E144" s="10" t="s">
        <v>353</v>
      </c>
      <c r="F144" s="10" t="s">
        <v>353</v>
      </c>
      <c r="G144" s="10" t="s">
        <v>353</v>
      </c>
      <c r="H144" s="10" t="s">
        <v>353</v>
      </c>
      <c r="I144" s="10" t="s">
        <v>353</v>
      </c>
      <c r="J144" s="10" t="s">
        <v>353</v>
      </c>
    </row>
    <row r="145" spans="1:10" x14ac:dyDescent="0.45">
      <c r="A145" s="5" t="str">
        <f t="shared" si="4"/>
        <v>Delivery DriverCompany C</v>
      </c>
      <c r="B145" s="5" t="str">
        <f t="shared" si="5"/>
        <v>Delivery Driver Company C</v>
      </c>
      <c r="C145" t="s">
        <v>217</v>
      </c>
      <c r="D145" t="s">
        <v>54</v>
      </c>
      <c r="E145" s="10" t="s">
        <v>354</v>
      </c>
      <c r="F145" s="10" t="s">
        <v>354</v>
      </c>
      <c r="G145" s="10" t="s">
        <v>354</v>
      </c>
      <c r="H145" s="10" t="s">
        <v>354</v>
      </c>
      <c r="I145" s="10" t="s">
        <v>354</v>
      </c>
      <c r="J145" s="10" t="s">
        <v>354</v>
      </c>
    </row>
    <row r="146" spans="1:10" x14ac:dyDescent="0.45">
      <c r="A146" s="5" t="str">
        <f t="shared" si="4"/>
        <v>Delivery DriverCompany D</v>
      </c>
      <c r="B146" s="5" t="str">
        <f t="shared" si="5"/>
        <v>Delivery Driver Company D</v>
      </c>
      <c r="C146" t="s">
        <v>217</v>
      </c>
      <c r="D146" t="s">
        <v>65</v>
      </c>
      <c r="E146" s="10" t="s">
        <v>329</v>
      </c>
      <c r="F146" s="10" t="s">
        <v>329</v>
      </c>
      <c r="G146" s="10" t="s">
        <v>329</v>
      </c>
      <c r="H146" s="10" t="s">
        <v>329</v>
      </c>
      <c r="I146" s="10" t="s">
        <v>329</v>
      </c>
      <c r="J146" s="10" t="s">
        <v>329</v>
      </c>
    </row>
    <row r="147" spans="1:10" x14ac:dyDescent="0.45">
      <c r="A147" s="5" t="str">
        <f t="shared" si="4"/>
        <v>Delivery DriverCompany E</v>
      </c>
      <c r="B147" s="5" t="str">
        <f t="shared" si="5"/>
        <v>Delivery Driver Company E</v>
      </c>
      <c r="C147" t="s">
        <v>217</v>
      </c>
      <c r="D147" t="s">
        <v>52</v>
      </c>
      <c r="E147" s="10" t="s">
        <v>461</v>
      </c>
      <c r="F147" s="10" t="s">
        <v>461</v>
      </c>
      <c r="G147" s="10" t="s">
        <v>461</v>
      </c>
      <c r="H147" s="10" t="s">
        <v>461</v>
      </c>
      <c r="I147" s="10" t="s">
        <v>461</v>
      </c>
      <c r="J147" s="10" t="s">
        <v>461</v>
      </c>
    </row>
    <row r="148" spans="1:10" x14ac:dyDescent="0.45">
      <c r="A148" s="5" t="str">
        <f t="shared" si="4"/>
        <v>Delivery DriverCompany F</v>
      </c>
      <c r="B148" s="5" t="str">
        <f t="shared" si="5"/>
        <v>Delivery Driver Company F</v>
      </c>
      <c r="C148" t="s">
        <v>217</v>
      </c>
      <c r="D148" t="s">
        <v>66</v>
      </c>
      <c r="E148" s="10" t="s">
        <v>312</v>
      </c>
      <c r="F148" s="10" t="s">
        <v>312</v>
      </c>
      <c r="G148" s="10" t="s">
        <v>312</v>
      </c>
      <c r="H148" s="10" t="s">
        <v>312</v>
      </c>
      <c r="I148" s="10" t="s">
        <v>312</v>
      </c>
      <c r="J148" s="10" t="s">
        <v>312</v>
      </c>
    </row>
    <row r="149" spans="1:10" x14ac:dyDescent="0.45">
      <c r="A149" s="5" t="str">
        <f t="shared" si="4"/>
        <v/>
      </c>
      <c r="B149" s="5" t="str">
        <f t="shared" si="5"/>
        <v xml:space="preserve"> </v>
      </c>
    </row>
    <row r="150" spans="1:10" x14ac:dyDescent="0.45">
      <c r="A150" s="5" t="str">
        <f t="shared" si="4"/>
        <v>Warehouse WorkerCompany A</v>
      </c>
      <c r="B150" s="5" t="str">
        <f t="shared" si="5"/>
        <v>Warehouse Worker Company A</v>
      </c>
      <c r="C150" t="s">
        <v>214</v>
      </c>
      <c r="D150" t="s">
        <v>64</v>
      </c>
      <c r="E150" s="10" t="s">
        <v>301</v>
      </c>
      <c r="F150" s="10" t="s">
        <v>301</v>
      </c>
      <c r="G150" s="10" t="s">
        <v>301</v>
      </c>
      <c r="H150" s="10" t="s">
        <v>301</v>
      </c>
      <c r="I150" s="10" t="s">
        <v>301</v>
      </c>
      <c r="J150" s="10" t="s">
        <v>301</v>
      </c>
    </row>
    <row r="151" spans="1:10" x14ac:dyDescent="0.45">
      <c r="A151" s="5" t="str">
        <f t="shared" si="4"/>
        <v>Warehouse AssociateCompany B</v>
      </c>
      <c r="B151" s="5" t="str">
        <f t="shared" si="5"/>
        <v>Warehouse Associate Company B</v>
      </c>
      <c r="C151" t="s">
        <v>300</v>
      </c>
      <c r="D151" t="s">
        <v>53</v>
      </c>
      <c r="E151" s="10" t="s">
        <v>305</v>
      </c>
      <c r="F151" s="10" t="s">
        <v>311</v>
      </c>
      <c r="G151" s="10" t="s">
        <v>317</v>
      </c>
      <c r="H151" s="10" t="s">
        <v>323</v>
      </c>
      <c r="I151" s="10" t="s">
        <v>311</v>
      </c>
      <c r="J151" s="10" t="s">
        <v>311</v>
      </c>
    </row>
    <row r="152" spans="1:10" x14ac:dyDescent="0.45">
      <c r="A152" s="5" t="str">
        <f t="shared" si="4"/>
        <v>Warehouse WorkerCompany C</v>
      </c>
      <c r="B152" s="5" t="str">
        <f t="shared" si="5"/>
        <v>Warehouse Worker Company C</v>
      </c>
      <c r="C152" t="s">
        <v>214</v>
      </c>
      <c r="D152" t="s">
        <v>54</v>
      </c>
      <c r="E152" s="10" t="s">
        <v>302</v>
      </c>
      <c r="F152" s="10" t="s">
        <v>313</v>
      </c>
      <c r="G152" s="10" t="s">
        <v>318</v>
      </c>
      <c r="H152" s="10" t="s">
        <v>326</v>
      </c>
      <c r="I152" s="10" t="s">
        <v>610</v>
      </c>
      <c r="J152" s="10" t="s">
        <v>611</v>
      </c>
    </row>
    <row r="153" spans="1:10" x14ac:dyDescent="0.45">
      <c r="A153" s="5" t="str">
        <f t="shared" si="4"/>
        <v>Warehouse AssociateCompany D</v>
      </c>
      <c r="B153" s="5" t="str">
        <f t="shared" si="5"/>
        <v>Warehouse Associate Company D</v>
      </c>
      <c r="C153" t="s">
        <v>300</v>
      </c>
      <c r="D153" t="s">
        <v>65</v>
      </c>
      <c r="E153" s="10" t="s">
        <v>308</v>
      </c>
      <c r="F153" s="10" t="s">
        <v>312</v>
      </c>
      <c r="G153" s="10" t="s">
        <v>319</v>
      </c>
      <c r="H153" s="10" t="s">
        <v>319</v>
      </c>
      <c r="I153" s="10" t="s">
        <v>319</v>
      </c>
      <c r="J153" s="10" t="s">
        <v>335</v>
      </c>
    </row>
    <row r="154" spans="1:10" x14ac:dyDescent="0.45">
      <c r="A154" s="5" t="str">
        <f t="shared" si="4"/>
        <v>Warehouse WorkerCompany E</v>
      </c>
      <c r="B154" s="5" t="str">
        <f t="shared" si="5"/>
        <v>Warehouse Worker Company E</v>
      </c>
      <c r="C154" t="s">
        <v>214</v>
      </c>
      <c r="D154" t="s">
        <v>52</v>
      </c>
      <c r="E154" s="10" t="s">
        <v>304</v>
      </c>
      <c r="F154" s="10" t="s">
        <v>304</v>
      </c>
      <c r="G154" s="10" t="s">
        <v>304</v>
      </c>
      <c r="H154" s="10" t="s">
        <v>304</v>
      </c>
      <c r="I154" s="10" t="s">
        <v>304</v>
      </c>
      <c r="J154" s="10" t="s">
        <v>304</v>
      </c>
    </row>
    <row r="155" spans="1:10" x14ac:dyDescent="0.45">
      <c r="A155" s="5" t="str">
        <f t="shared" si="4"/>
        <v>Warehouse AssociateCompany F</v>
      </c>
      <c r="B155" s="5" t="str">
        <f t="shared" si="5"/>
        <v>Warehouse Associate Company F</v>
      </c>
      <c r="C155" t="s">
        <v>300</v>
      </c>
      <c r="D155" t="s">
        <v>66</v>
      </c>
      <c r="E155" s="10" t="s">
        <v>60</v>
      </c>
      <c r="F155" s="10" t="s">
        <v>145</v>
      </c>
      <c r="G155" s="10" t="s">
        <v>57</v>
      </c>
      <c r="H155" s="10" t="s">
        <v>327</v>
      </c>
      <c r="I155" s="10" t="s">
        <v>60</v>
      </c>
      <c r="J155" s="10" t="s">
        <v>334</v>
      </c>
    </row>
    <row r="156" spans="1:10" x14ac:dyDescent="0.45">
      <c r="A156" s="5" t="str">
        <f t="shared" si="4"/>
        <v>Warehouse WorkerCompany G</v>
      </c>
      <c r="B156" s="5" t="str">
        <f t="shared" si="5"/>
        <v>Warehouse Worker Company G</v>
      </c>
      <c r="C156" t="s">
        <v>214</v>
      </c>
      <c r="D156" t="s">
        <v>67</v>
      </c>
      <c r="E156" s="10" t="s">
        <v>303</v>
      </c>
      <c r="F156" s="10" t="s">
        <v>310</v>
      </c>
      <c r="G156" s="10" t="s">
        <v>320</v>
      </c>
      <c r="H156" s="10" t="s">
        <v>325</v>
      </c>
      <c r="I156" s="10" t="s">
        <v>330</v>
      </c>
      <c r="J156" s="10" t="s">
        <v>337</v>
      </c>
    </row>
    <row r="157" spans="1:10" x14ac:dyDescent="0.45">
      <c r="A157" s="5" t="str">
        <f t="shared" si="4"/>
        <v>Warehouse AssociateCompany H</v>
      </c>
      <c r="B157" s="5" t="str">
        <f t="shared" si="5"/>
        <v>Warehouse Associate Company H</v>
      </c>
      <c r="C157" t="s">
        <v>300</v>
      </c>
      <c r="D157" t="s">
        <v>68</v>
      </c>
      <c r="E157" s="10" t="s">
        <v>306</v>
      </c>
      <c r="F157" s="10" t="s">
        <v>314</v>
      </c>
      <c r="G157" s="10" t="s">
        <v>986</v>
      </c>
      <c r="H157" s="10" t="s">
        <v>986</v>
      </c>
      <c r="I157" s="10" t="s">
        <v>332</v>
      </c>
      <c r="J157" s="10" t="s">
        <v>338</v>
      </c>
    </row>
    <row r="158" spans="1:10" x14ac:dyDescent="0.45">
      <c r="A158" s="5" t="str">
        <f t="shared" si="4"/>
        <v>Warehouse WorkerCompany I</v>
      </c>
      <c r="B158" s="5" t="str">
        <f t="shared" si="5"/>
        <v>Warehouse Worker Company I</v>
      </c>
      <c r="C158" t="s">
        <v>214</v>
      </c>
      <c r="D158" t="s">
        <v>69</v>
      </c>
      <c r="E158" s="10" t="s">
        <v>307</v>
      </c>
      <c r="F158" s="10" t="s">
        <v>316</v>
      </c>
      <c r="G158" s="10" t="s">
        <v>321</v>
      </c>
      <c r="H158" s="10" t="s">
        <v>324</v>
      </c>
      <c r="I158" s="10" t="s">
        <v>331</v>
      </c>
      <c r="J158" s="10" t="s">
        <v>339</v>
      </c>
    </row>
    <row r="159" spans="1:10" x14ac:dyDescent="0.45">
      <c r="A159" s="5" t="str">
        <f t="shared" si="4"/>
        <v>Warehouse AssociateCompany J</v>
      </c>
      <c r="B159" s="5" t="str">
        <f t="shared" si="5"/>
        <v>Warehouse Associate Company J</v>
      </c>
      <c r="C159" t="s">
        <v>300</v>
      </c>
      <c r="D159" t="s">
        <v>92</v>
      </c>
      <c r="E159" s="10" t="s">
        <v>309</v>
      </c>
      <c r="F159" s="10" t="s">
        <v>315</v>
      </c>
      <c r="G159" s="10" t="s">
        <v>322</v>
      </c>
      <c r="H159" s="10" t="s">
        <v>328</v>
      </c>
      <c r="I159" s="10" t="s">
        <v>333</v>
      </c>
      <c r="J159" s="10" t="s">
        <v>336</v>
      </c>
    </row>
    <row r="160" spans="1:10" x14ac:dyDescent="0.45">
      <c r="A160" s="5" t="str">
        <f t="shared" si="4"/>
        <v/>
      </c>
      <c r="B160" s="5" t="str">
        <f t="shared" si="5"/>
        <v xml:space="preserve"> </v>
      </c>
      <c r="E160"/>
      <c r="F160"/>
      <c r="G160"/>
      <c r="H160"/>
      <c r="I160"/>
      <c r="J160"/>
    </row>
    <row r="161" spans="1:11" x14ac:dyDescent="0.45">
      <c r="A161" s="5" t="str">
        <f t="shared" si="4"/>
        <v>Warehouse AssociateCompany A</v>
      </c>
      <c r="B161" s="5" t="str">
        <f t="shared" si="5"/>
        <v>Warehouse Associate Company A</v>
      </c>
      <c r="C161" s="21" t="s">
        <v>300</v>
      </c>
      <c r="D161" s="21" t="s">
        <v>64</v>
      </c>
      <c r="E161" s="21" t="s">
        <v>301</v>
      </c>
      <c r="F161" s="21" t="s">
        <v>301</v>
      </c>
      <c r="G161" s="21" t="s">
        <v>301</v>
      </c>
      <c r="H161" s="21" t="s">
        <v>301</v>
      </c>
      <c r="I161" s="21" t="s">
        <v>301</v>
      </c>
      <c r="J161" s="21" t="s">
        <v>301</v>
      </c>
      <c r="K161" s="21" t="s">
        <v>666</v>
      </c>
    </row>
    <row r="162" spans="1:11" x14ac:dyDescent="0.45">
      <c r="A162" s="5" t="str">
        <f t="shared" si="4"/>
        <v>Warehouse WorkerCompany B</v>
      </c>
      <c r="B162" s="5" t="str">
        <f t="shared" si="5"/>
        <v>Warehouse Worker Company B</v>
      </c>
      <c r="C162" s="21" t="s">
        <v>214</v>
      </c>
      <c r="D162" s="21" t="s">
        <v>53</v>
      </c>
      <c r="E162" s="21" t="s">
        <v>305</v>
      </c>
      <c r="F162" s="21" t="s">
        <v>311</v>
      </c>
      <c r="G162" s="21" t="s">
        <v>317</v>
      </c>
      <c r="H162" s="21" t="s">
        <v>323</v>
      </c>
      <c r="I162" s="21" t="s">
        <v>311</v>
      </c>
      <c r="J162" s="21" t="s">
        <v>311</v>
      </c>
    </row>
    <row r="163" spans="1:11" x14ac:dyDescent="0.45">
      <c r="A163" s="5" t="str">
        <f t="shared" si="4"/>
        <v>Warehouse AssociateCompany C</v>
      </c>
      <c r="B163" s="5" t="str">
        <f t="shared" si="5"/>
        <v>Warehouse Associate Company C</v>
      </c>
      <c r="C163" s="21" t="s">
        <v>300</v>
      </c>
      <c r="D163" s="21" t="s">
        <v>54</v>
      </c>
      <c r="E163" s="21" t="s">
        <v>302</v>
      </c>
      <c r="F163" s="21" t="s">
        <v>313</v>
      </c>
      <c r="G163" s="21" t="s">
        <v>318</v>
      </c>
      <c r="H163" s="21" t="s">
        <v>326</v>
      </c>
      <c r="I163" s="21" t="s">
        <v>610</v>
      </c>
      <c r="J163" s="21" t="s">
        <v>611</v>
      </c>
    </row>
    <row r="164" spans="1:11" x14ac:dyDescent="0.45">
      <c r="A164" s="5" t="str">
        <f t="shared" si="4"/>
        <v>Warehouse WorkerCompany D</v>
      </c>
      <c r="B164" s="5" t="str">
        <f t="shared" si="5"/>
        <v>Warehouse Worker Company D</v>
      </c>
      <c r="C164" s="21" t="s">
        <v>214</v>
      </c>
      <c r="D164" s="21" t="s">
        <v>65</v>
      </c>
      <c r="E164" s="21" t="s">
        <v>308</v>
      </c>
      <c r="F164" s="21" t="s">
        <v>312</v>
      </c>
      <c r="G164" s="21" t="s">
        <v>319</v>
      </c>
      <c r="H164" s="21" t="s">
        <v>319</v>
      </c>
      <c r="I164" s="21" t="s">
        <v>319</v>
      </c>
      <c r="J164" s="21" t="s">
        <v>335</v>
      </c>
    </row>
    <row r="165" spans="1:11" x14ac:dyDescent="0.45">
      <c r="A165" s="5" t="str">
        <f t="shared" si="4"/>
        <v>Warehouse AssociateCompany E</v>
      </c>
      <c r="B165" s="5" t="str">
        <f t="shared" si="5"/>
        <v>Warehouse Associate Company E</v>
      </c>
      <c r="C165" s="21" t="s">
        <v>300</v>
      </c>
      <c r="D165" s="21" t="s">
        <v>52</v>
      </c>
      <c r="E165" s="21" t="s">
        <v>304</v>
      </c>
      <c r="F165" s="21" t="s">
        <v>304</v>
      </c>
      <c r="G165" s="21" t="s">
        <v>304</v>
      </c>
      <c r="H165" s="21" t="s">
        <v>304</v>
      </c>
      <c r="I165" s="21" t="s">
        <v>304</v>
      </c>
      <c r="J165" s="21" t="s">
        <v>304</v>
      </c>
    </row>
    <row r="166" spans="1:11" x14ac:dyDescent="0.45">
      <c r="A166" s="5" t="str">
        <f t="shared" si="4"/>
        <v>Warehouse WorkerCompany F</v>
      </c>
      <c r="B166" s="5" t="str">
        <f t="shared" si="5"/>
        <v>Warehouse Worker Company F</v>
      </c>
      <c r="C166" s="21" t="s">
        <v>214</v>
      </c>
      <c r="D166" s="21" t="s">
        <v>66</v>
      </c>
      <c r="E166" s="21" t="s">
        <v>60</v>
      </c>
      <c r="F166" s="21" t="s">
        <v>145</v>
      </c>
      <c r="G166" s="21" t="s">
        <v>57</v>
      </c>
      <c r="H166" s="21" t="s">
        <v>327</v>
      </c>
      <c r="I166" s="21" t="s">
        <v>60</v>
      </c>
      <c r="J166" s="21" t="s">
        <v>334</v>
      </c>
    </row>
    <row r="167" spans="1:11" x14ac:dyDescent="0.45">
      <c r="A167" s="5" t="str">
        <f t="shared" si="4"/>
        <v>Warehouse AssociateCompany G</v>
      </c>
      <c r="B167" s="5" t="str">
        <f t="shared" si="5"/>
        <v>Warehouse Associate Company G</v>
      </c>
      <c r="C167" s="21" t="s">
        <v>300</v>
      </c>
      <c r="D167" s="21" t="s">
        <v>67</v>
      </c>
      <c r="E167" s="21" t="s">
        <v>303</v>
      </c>
      <c r="F167" s="21" t="s">
        <v>310</v>
      </c>
      <c r="G167" s="21" t="s">
        <v>320</v>
      </c>
      <c r="H167" s="21" t="s">
        <v>325</v>
      </c>
      <c r="I167" s="21" t="s">
        <v>330</v>
      </c>
      <c r="J167" s="21" t="s">
        <v>337</v>
      </c>
    </row>
    <row r="168" spans="1:11" x14ac:dyDescent="0.45">
      <c r="A168" s="5" t="str">
        <f t="shared" si="4"/>
        <v>Warehouse WorkerCompany H</v>
      </c>
      <c r="B168" s="5" t="str">
        <f t="shared" si="5"/>
        <v>Warehouse Worker Company H</v>
      </c>
      <c r="C168" s="21" t="s">
        <v>214</v>
      </c>
      <c r="D168" s="21" t="s">
        <v>68</v>
      </c>
      <c r="E168" s="21" t="s">
        <v>306</v>
      </c>
      <c r="F168" s="21" t="s">
        <v>314</v>
      </c>
      <c r="G168" s="21" t="s">
        <v>986</v>
      </c>
      <c r="H168" s="21" t="s">
        <v>986</v>
      </c>
      <c r="I168" s="21" t="s">
        <v>332</v>
      </c>
      <c r="J168" s="21" t="s">
        <v>338</v>
      </c>
    </row>
    <row r="169" spans="1:11" x14ac:dyDescent="0.45">
      <c r="A169" s="5" t="str">
        <f t="shared" si="4"/>
        <v>Warehouse AssociateCompany I</v>
      </c>
      <c r="B169" s="5" t="str">
        <f t="shared" si="5"/>
        <v>Warehouse Associate Company I</v>
      </c>
      <c r="C169" s="21" t="s">
        <v>300</v>
      </c>
      <c r="D169" s="21" t="s">
        <v>69</v>
      </c>
      <c r="E169" s="21" t="s">
        <v>307</v>
      </c>
      <c r="F169" s="21" t="s">
        <v>316</v>
      </c>
      <c r="G169" s="21" t="s">
        <v>321</v>
      </c>
      <c r="H169" s="21" t="s">
        <v>324</v>
      </c>
      <c r="I169" s="21" t="s">
        <v>331</v>
      </c>
      <c r="J169" s="21" t="s">
        <v>339</v>
      </c>
    </row>
    <row r="170" spans="1:11" x14ac:dyDescent="0.45">
      <c r="A170" s="5" t="str">
        <f t="shared" si="4"/>
        <v>Warehouse WorkerCompany J</v>
      </c>
      <c r="B170" s="5" t="str">
        <f t="shared" si="5"/>
        <v>Warehouse Worker Company J</v>
      </c>
      <c r="C170" s="21" t="s">
        <v>214</v>
      </c>
      <c r="D170" s="21" t="s">
        <v>92</v>
      </c>
      <c r="E170" s="21" t="s">
        <v>309</v>
      </c>
      <c r="F170" s="21" t="s">
        <v>315</v>
      </c>
      <c r="G170" s="21" t="s">
        <v>322</v>
      </c>
      <c r="H170" s="21" t="s">
        <v>328</v>
      </c>
      <c r="I170" s="21" t="s">
        <v>333</v>
      </c>
      <c r="J170" s="21" t="s">
        <v>336</v>
      </c>
    </row>
    <row r="171" spans="1:11" x14ac:dyDescent="0.45">
      <c r="A171" s="5" t="str">
        <f t="shared" si="4"/>
        <v/>
      </c>
      <c r="B171" s="5" t="str">
        <f t="shared" si="5"/>
        <v xml:space="preserve"> </v>
      </c>
    </row>
    <row r="172" spans="1:11" x14ac:dyDescent="0.45">
      <c r="A172" s="5" t="str">
        <f t="shared" si="4"/>
        <v>JanitorCompany A</v>
      </c>
      <c r="B172" s="5" t="str">
        <f t="shared" si="5"/>
        <v>Janitor Company A</v>
      </c>
      <c r="C172" t="s">
        <v>215</v>
      </c>
      <c r="D172" t="s">
        <v>64</v>
      </c>
      <c r="E172" s="10" t="s">
        <v>752</v>
      </c>
      <c r="F172" s="10" t="s">
        <v>752</v>
      </c>
      <c r="G172" s="10" t="s">
        <v>752</v>
      </c>
      <c r="H172" s="10" t="s">
        <v>752</v>
      </c>
      <c r="I172" s="10" t="s">
        <v>752</v>
      </c>
      <c r="J172" s="10" t="s">
        <v>752</v>
      </c>
    </row>
    <row r="173" spans="1:11" x14ac:dyDescent="0.45">
      <c r="A173" s="5" t="str">
        <f t="shared" si="4"/>
        <v>JanitorCompany B</v>
      </c>
      <c r="B173" s="5" t="str">
        <f t="shared" si="5"/>
        <v>Janitor Company B</v>
      </c>
      <c r="C173" t="s">
        <v>215</v>
      </c>
      <c r="D173" t="s">
        <v>53</v>
      </c>
      <c r="E173" s="10" t="s">
        <v>754</v>
      </c>
      <c r="F173" s="10" t="s">
        <v>753</v>
      </c>
      <c r="G173" s="10" t="s">
        <v>755</v>
      </c>
      <c r="H173" s="10" t="s">
        <v>756</v>
      </c>
      <c r="I173" s="10" t="s">
        <v>757</v>
      </c>
      <c r="J173" s="10" t="s">
        <v>758</v>
      </c>
    </row>
    <row r="174" spans="1:11" x14ac:dyDescent="0.45">
      <c r="A174" s="5" t="str">
        <f t="shared" si="4"/>
        <v>JanitorCompany C</v>
      </c>
      <c r="B174" s="5" t="str">
        <f t="shared" si="5"/>
        <v>Janitor Company C</v>
      </c>
      <c r="C174" t="s">
        <v>215</v>
      </c>
      <c r="D174" t="s">
        <v>54</v>
      </c>
      <c r="E174" s="10" t="s">
        <v>764</v>
      </c>
      <c r="F174" s="10" t="s">
        <v>763</v>
      </c>
      <c r="G174" s="10" t="s">
        <v>761</v>
      </c>
      <c r="H174" s="10" t="s">
        <v>762</v>
      </c>
      <c r="I174" s="10" t="s">
        <v>760</v>
      </c>
      <c r="J174" s="10" t="s">
        <v>759</v>
      </c>
    </row>
    <row r="175" spans="1:11" x14ac:dyDescent="0.45">
      <c r="A175" s="5" t="str">
        <f t="shared" si="4"/>
        <v>JanitorCompany D</v>
      </c>
      <c r="B175" s="5" t="str">
        <f t="shared" si="5"/>
        <v>Janitor Company D</v>
      </c>
      <c r="C175" t="s">
        <v>215</v>
      </c>
      <c r="D175" t="s">
        <v>65</v>
      </c>
      <c r="E175" s="10" t="s">
        <v>765</v>
      </c>
      <c r="F175" s="10" t="s">
        <v>768</v>
      </c>
      <c r="G175" s="10" t="s">
        <v>771</v>
      </c>
      <c r="H175" s="10" t="s">
        <v>775</v>
      </c>
      <c r="I175" s="10" t="s">
        <v>777</v>
      </c>
      <c r="J175" s="10" t="s">
        <v>780</v>
      </c>
    </row>
    <row r="176" spans="1:11" x14ac:dyDescent="0.45">
      <c r="A176" s="5" t="str">
        <f t="shared" si="4"/>
        <v>JanitorCompany E</v>
      </c>
      <c r="B176" s="5" t="str">
        <f t="shared" si="5"/>
        <v>Janitor Company E</v>
      </c>
      <c r="C176" t="s">
        <v>215</v>
      </c>
      <c r="D176" t="s">
        <v>52</v>
      </c>
      <c r="E176" s="10" t="s">
        <v>803</v>
      </c>
      <c r="F176" s="10" t="s">
        <v>799</v>
      </c>
      <c r="G176" s="10" t="s">
        <v>797</v>
      </c>
      <c r="H176" s="10" t="s">
        <v>793</v>
      </c>
      <c r="I176" s="10" t="s">
        <v>787</v>
      </c>
      <c r="J176" s="10" t="s">
        <v>789</v>
      </c>
    </row>
    <row r="177" spans="1:10" x14ac:dyDescent="0.45">
      <c r="A177" s="5" t="str">
        <f t="shared" si="4"/>
        <v>JanitorCompany F</v>
      </c>
      <c r="B177" s="5" t="str">
        <f t="shared" si="5"/>
        <v>Janitor Company F</v>
      </c>
      <c r="C177" t="s">
        <v>215</v>
      </c>
      <c r="D177" t="s">
        <v>66</v>
      </c>
      <c r="E177" s="10" t="s">
        <v>767</v>
      </c>
      <c r="F177" s="10" t="s">
        <v>769</v>
      </c>
      <c r="G177" s="10" t="s">
        <v>772</v>
      </c>
      <c r="H177" s="10" t="s">
        <v>774</v>
      </c>
      <c r="I177" s="10" t="s">
        <v>779</v>
      </c>
      <c r="J177" s="10" t="s">
        <v>782</v>
      </c>
    </row>
    <row r="178" spans="1:10" x14ac:dyDescent="0.45">
      <c r="A178" s="5" t="str">
        <f t="shared" si="4"/>
        <v>JanitorCompany G</v>
      </c>
      <c r="B178" s="5" t="str">
        <f t="shared" si="5"/>
        <v>Janitor Company G</v>
      </c>
      <c r="C178" t="s">
        <v>215</v>
      </c>
      <c r="D178" t="s">
        <v>67</v>
      </c>
      <c r="E178" s="10" t="s">
        <v>766</v>
      </c>
      <c r="F178" s="10" t="s">
        <v>770</v>
      </c>
      <c r="G178" s="10" t="s">
        <v>773</v>
      </c>
      <c r="H178" s="10" t="s">
        <v>776</v>
      </c>
      <c r="I178" s="10" t="s">
        <v>778</v>
      </c>
      <c r="J178" s="10" t="s">
        <v>781</v>
      </c>
    </row>
    <row r="179" spans="1:10" x14ac:dyDescent="0.45">
      <c r="A179" s="5" t="str">
        <f t="shared" si="4"/>
        <v>JanitorCompany H</v>
      </c>
      <c r="B179" s="5" t="str">
        <f t="shared" si="5"/>
        <v>Janitor Company H</v>
      </c>
      <c r="C179" t="s">
        <v>215</v>
      </c>
      <c r="D179" t="s">
        <v>68</v>
      </c>
      <c r="E179" s="10" t="s">
        <v>804</v>
      </c>
      <c r="F179" s="10" t="s">
        <v>786</v>
      </c>
      <c r="G179" s="10" t="s">
        <v>796</v>
      </c>
      <c r="H179" s="10" t="s">
        <v>792</v>
      </c>
      <c r="I179" s="10" t="s">
        <v>786</v>
      </c>
      <c r="J179" s="10" t="s">
        <v>788</v>
      </c>
    </row>
    <row r="180" spans="1:10" x14ac:dyDescent="0.45">
      <c r="A180" s="5" t="str">
        <f t="shared" si="4"/>
        <v>JanitorCompany I</v>
      </c>
      <c r="B180" s="5" t="str">
        <f t="shared" si="5"/>
        <v>Janitor Company I</v>
      </c>
      <c r="C180" t="s">
        <v>215</v>
      </c>
      <c r="D180" t="s">
        <v>69</v>
      </c>
      <c r="E180" s="10" t="s">
        <v>802</v>
      </c>
      <c r="F180" s="10" t="s">
        <v>801</v>
      </c>
      <c r="G180" s="10" t="s">
        <v>798</v>
      </c>
      <c r="H180" s="10" t="s">
        <v>794</v>
      </c>
      <c r="I180" s="10" t="s">
        <v>783</v>
      </c>
      <c r="J180" s="10" t="s">
        <v>784</v>
      </c>
    </row>
    <row r="181" spans="1:10" x14ac:dyDescent="0.45">
      <c r="A181" s="5" t="str">
        <f t="shared" si="4"/>
        <v>JanitorCompany J</v>
      </c>
      <c r="B181" s="5" t="str">
        <f t="shared" si="5"/>
        <v>Janitor Company J</v>
      </c>
      <c r="C181" t="s">
        <v>215</v>
      </c>
      <c r="D181" t="s">
        <v>92</v>
      </c>
      <c r="E181" s="10" t="s">
        <v>805</v>
      </c>
      <c r="F181" s="10" t="s">
        <v>800</v>
      </c>
      <c r="G181" s="10" t="s">
        <v>795</v>
      </c>
      <c r="H181" s="10" t="s">
        <v>791</v>
      </c>
      <c r="I181" s="10" t="s">
        <v>785</v>
      </c>
      <c r="J181" s="10" t="s">
        <v>790</v>
      </c>
    </row>
    <row r="182" spans="1:10" x14ac:dyDescent="0.45">
      <c r="A182" s="5" t="str">
        <f t="shared" si="4"/>
        <v/>
      </c>
      <c r="B182" s="5" t="str">
        <f t="shared" si="5"/>
        <v xml:space="preserve"> </v>
      </c>
    </row>
    <row r="183" spans="1:10" x14ac:dyDescent="0.45">
      <c r="A183" s="5" t="str">
        <f t="shared" si="4"/>
        <v>LandscaperCompany A</v>
      </c>
      <c r="B183" s="5" t="str">
        <f t="shared" si="5"/>
        <v>Landscaper Company A</v>
      </c>
      <c r="C183" t="s">
        <v>216</v>
      </c>
      <c r="D183" t="s">
        <v>64</v>
      </c>
      <c r="E183" s="10" t="s">
        <v>374</v>
      </c>
      <c r="F183" s="10" t="s">
        <v>374</v>
      </c>
      <c r="G183" s="10" t="s">
        <v>393</v>
      </c>
      <c r="H183" s="10" t="s">
        <v>394</v>
      </c>
      <c r="I183" s="10" t="s">
        <v>395</v>
      </c>
      <c r="J183" s="10" t="s">
        <v>395</v>
      </c>
    </row>
    <row r="184" spans="1:10" x14ac:dyDescent="0.45">
      <c r="A184" s="5" t="str">
        <f t="shared" si="4"/>
        <v>LandscaperCompany B</v>
      </c>
      <c r="B184" s="5" t="str">
        <f t="shared" si="5"/>
        <v>Landscaper Company B</v>
      </c>
      <c r="C184" t="s">
        <v>216</v>
      </c>
      <c r="D184" t="s">
        <v>53</v>
      </c>
      <c r="E184" s="10" t="s">
        <v>463</v>
      </c>
      <c r="F184" s="10" t="s">
        <v>464</v>
      </c>
      <c r="G184" s="10" t="s">
        <v>465</v>
      </c>
      <c r="H184" s="10" t="s">
        <v>466</v>
      </c>
      <c r="I184" s="10" t="s">
        <v>467</v>
      </c>
      <c r="J184" s="10" t="s">
        <v>468</v>
      </c>
    </row>
    <row r="185" spans="1:10" x14ac:dyDescent="0.45">
      <c r="A185" s="5" t="str">
        <f t="shared" si="4"/>
        <v>LandscaperCompany C</v>
      </c>
      <c r="B185" s="5" t="str">
        <f t="shared" si="5"/>
        <v>Landscaper Company C</v>
      </c>
      <c r="C185" t="s">
        <v>216</v>
      </c>
      <c r="D185" t="s">
        <v>54</v>
      </c>
      <c r="E185" s="10" t="s">
        <v>470</v>
      </c>
      <c r="F185" s="10" t="s">
        <v>368</v>
      </c>
      <c r="G185" s="10" t="s">
        <v>471</v>
      </c>
      <c r="H185" s="10" t="s">
        <v>472</v>
      </c>
      <c r="I185" s="10" t="s">
        <v>473</v>
      </c>
      <c r="J185" s="10" t="s">
        <v>474</v>
      </c>
    </row>
    <row r="186" spans="1:10" x14ac:dyDescent="0.45">
      <c r="A186" s="5" t="str">
        <f t="shared" si="4"/>
        <v>GroundskeeperCompany D</v>
      </c>
      <c r="B186" s="5" t="str">
        <f t="shared" si="5"/>
        <v>Groundskeeper Company D</v>
      </c>
      <c r="C186" t="s">
        <v>938</v>
      </c>
      <c r="D186" t="s">
        <v>65</v>
      </c>
      <c r="E186" s="10" t="s">
        <v>939</v>
      </c>
      <c r="F186" s="10" t="s">
        <v>939</v>
      </c>
      <c r="G186" s="10" t="s">
        <v>940</v>
      </c>
      <c r="H186" s="10" t="s">
        <v>940</v>
      </c>
      <c r="I186" s="10" t="s">
        <v>939</v>
      </c>
      <c r="J186" s="10" t="s">
        <v>941</v>
      </c>
    </row>
    <row r="187" spans="1:10" x14ac:dyDescent="0.45">
      <c r="A187" s="5" t="str">
        <f t="shared" si="4"/>
        <v>GroundskeeperCompany E</v>
      </c>
      <c r="B187" s="5" t="str">
        <f t="shared" si="5"/>
        <v>Groundskeeper Company E</v>
      </c>
      <c r="C187" t="s">
        <v>938</v>
      </c>
      <c r="D187" t="s">
        <v>52</v>
      </c>
      <c r="E187" s="10" t="s">
        <v>942</v>
      </c>
      <c r="F187" s="10" t="s">
        <v>943</v>
      </c>
      <c r="G187" s="10" t="s">
        <v>944</v>
      </c>
      <c r="H187" s="10" t="s">
        <v>945</v>
      </c>
      <c r="I187" s="10" t="s">
        <v>946</v>
      </c>
      <c r="J187" s="10" t="s">
        <v>947</v>
      </c>
    </row>
    <row r="188" spans="1:10" x14ac:dyDescent="0.45">
      <c r="A188" s="5" t="str">
        <f t="shared" si="4"/>
        <v>LandscaperCompany F</v>
      </c>
      <c r="B188" s="5" t="str">
        <f t="shared" si="5"/>
        <v>Landscaper Company F</v>
      </c>
      <c r="C188" t="s">
        <v>216</v>
      </c>
      <c r="D188" t="s">
        <v>66</v>
      </c>
      <c r="E188" s="10" t="s">
        <v>948</v>
      </c>
      <c r="F188" s="10" t="s">
        <v>949</v>
      </c>
      <c r="G188" s="10" t="s">
        <v>950</v>
      </c>
      <c r="H188" s="10" t="s">
        <v>951</v>
      </c>
      <c r="I188" s="10" t="s">
        <v>952</v>
      </c>
      <c r="J188" s="10" t="s">
        <v>953</v>
      </c>
    </row>
    <row r="189" spans="1:10" x14ac:dyDescent="0.45">
      <c r="A189" s="5" t="str">
        <f t="shared" si="4"/>
        <v>LandscaperCompany G</v>
      </c>
      <c r="B189" s="5" t="str">
        <f t="shared" si="5"/>
        <v>Landscaper Company G</v>
      </c>
      <c r="C189" t="s">
        <v>216</v>
      </c>
      <c r="D189" t="s">
        <v>67</v>
      </c>
      <c r="E189" s="10" t="s">
        <v>954</v>
      </c>
      <c r="F189" s="10" t="s">
        <v>955</v>
      </c>
      <c r="G189" s="10" t="s">
        <v>956</v>
      </c>
      <c r="H189" s="10" t="s">
        <v>957</v>
      </c>
      <c r="I189" s="10" t="s">
        <v>958</v>
      </c>
      <c r="J189" s="10" t="s">
        <v>959</v>
      </c>
    </row>
    <row r="190" spans="1:10" x14ac:dyDescent="0.45">
      <c r="A190" s="5" t="str">
        <f t="shared" si="4"/>
        <v>LandscaperCompany H</v>
      </c>
      <c r="B190" s="5" t="str">
        <f t="shared" si="5"/>
        <v>Landscaper Company H</v>
      </c>
      <c r="C190" t="s">
        <v>216</v>
      </c>
      <c r="D190" t="s">
        <v>68</v>
      </c>
      <c r="E190" s="10" t="s">
        <v>960</v>
      </c>
      <c r="F190" s="10" t="s">
        <v>961</v>
      </c>
      <c r="G190" s="10" t="s">
        <v>962</v>
      </c>
      <c r="H190" s="10" t="s">
        <v>963</v>
      </c>
      <c r="I190" s="10" t="s">
        <v>964</v>
      </c>
      <c r="J190" s="10" t="s">
        <v>965</v>
      </c>
    </row>
    <row r="191" spans="1:10" x14ac:dyDescent="0.45">
      <c r="A191" s="5" t="str">
        <f t="shared" si="4"/>
        <v>LandscaperCompany I</v>
      </c>
      <c r="B191" s="5" t="str">
        <f t="shared" si="5"/>
        <v>Landscaper Company I</v>
      </c>
      <c r="C191" t="s">
        <v>216</v>
      </c>
      <c r="D191" t="s">
        <v>69</v>
      </c>
      <c r="E191" s="10" t="s">
        <v>966</v>
      </c>
      <c r="F191" s="10" t="s">
        <v>967</v>
      </c>
      <c r="G191" s="10" t="s">
        <v>968</v>
      </c>
      <c r="H191" s="10" t="s">
        <v>969</v>
      </c>
      <c r="I191" s="10" t="s">
        <v>970</v>
      </c>
      <c r="J191" s="10" t="s">
        <v>971</v>
      </c>
    </row>
    <row r="192" spans="1:10" x14ac:dyDescent="0.45">
      <c r="A192" s="5" t="str">
        <f t="shared" si="4"/>
        <v>LandscaperCompany J</v>
      </c>
      <c r="B192" s="5" t="str">
        <f t="shared" si="5"/>
        <v>Landscaper Company J</v>
      </c>
      <c r="C192" t="s">
        <v>216</v>
      </c>
      <c r="D192" t="s">
        <v>92</v>
      </c>
      <c r="E192" s="10" t="s">
        <v>972</v>
      </c>
      <c r="F192" s="10" t="s">
        <v>973</v>
      </c>
      <c r="G192" s="10" t="s">
        <v>974</v>
      </c>
      <c r="H192" s="10" t="s">
        <v>975</v>
      </c>
      <c r="I192" s="10" t="s">
        <v>976</v>
      </c>
      <c r="J192" s="10" t="s">
        <v>977</v>
      </c>
    </row>
    <row r="193" spans="1:10" x14ac:dyDescent="0.45">
      <c r="A193" s="5" t="str">
        <f t="shared" si="4"/>
        <v/>
      </c>
      <c r="B193" s="5" t="str">
        <f t="shared" si="5"/>
        <v xml:space="preserve"> </v>
      </c>
    </row>
    <row r="194" spans="1:10" x14ac:dyDescent="0.45">
      <c r="A194" s="5" t="str">
        <f t="shared" ref="A194:A257" si="6">C194&amp;D194</f>
        <v>Customer Service RepresentativeCompany A</v>
      </c>
      <c r="B194" s="5" t="str">
        <f t="shared" ref="B194:B257" si="7">C194&amp;" "&amp;D194</f>
        <v>Customer Service Representative Company A</v>
      </c>
      <c r="C194" t="s">
        <v>125</v>
      </c>
      <c r="D194" t="s">
        <v>64</v>
      </c>
      <c r="E194" s="10" t="s">
        <v>203</v>
      </c>
      <c r="F194" s="10" t="s">
        <v>126</v>
      </c>
      <c r="G194" s="10" t="s">
        <v>126</v>
      </c>
      <c r="H194" s="10" t="s">
        <v>127</v>
      </c>
      <c r="I194" s="10" t="s">
        <v>128</v>
      </c>
      <c r="J194" s="10" t="s">
        <v>128</v>
      </c>
    </row>
    <row r="195" spans="1:10" x14ac:dyDescent="0.45">
      <c r="A195" s="5" t="str">
        <f t="shared" si="6"/>
        <v>Customer Service RepresentativeCompany B</v>
      </c>
      <c r="B195" s="5" t="str">
        <f t="shared" si="7"/>
        <v>Customer Service Representative Company B</v>
      </c>
      <c r="C195" t="s">
        <v>125</v>
      </c>
      <c r="D195" t="s">
        <v>53</v>
      </c>
      <c r="E195" s="10" t="s">
        <v>191</v>
      </c>
      <c r="F195" s="10" t="s">
        <v>129</v>
      </c>
      <c r="G195" s="10" t="s">
        <v>130</v>
      </c>
      <c r="H195" s="10" t="s">
        <v>129</v>
      </c>
      <c r="I195" s="10" t="s">
        <v>129</v>
      </c>
      <c r="J195" s="10" t="s">
        <v>129</v>
      </c>
    </row>
    <row r="196" spans="1:10" x14ac:dyDescent="0.45">
      <c r="A196" s="5" t="str">
        <f t="shared" si="6"/>
        <v>Customer Service RepresentativeCompany C</v>
      </c>
      <c r="B196" s="5" t="str">
        <f t="shared" si="7"/>
        <v>Customer Service Representative Company C</v>
      </c>
      <c r="C196" t="s">
        <v>125</v>
      </c>
      <c r="D196" t="s">
        <v>54</v>
      </c>
      <c r="E196" s="10" t="s">
        <v>192</v>
      </c>
      <c r="F196" s="10" t="s">
        <v>131</v>
      </c>
      <c r="G196" s="10" t="s">
        <v>132</v>
      </c>
      <c r="H196" s="10" t="s">
        <v>133</v>
      </c>
      <c r="I196" s="10" t="s">
        <v>134</v>
      </c>
      <c r="J196" s="10" t="s">
        <v>135</v>
      </c>
    </row>
    <row r="197" spans="1:10" x14ac:dyDescent="0.45">
      <c r="A197" s="5" t="str">
        <f t="shared" si="6"/>
        <v>Customer Service RepresentativeCompany D</v>
      </c>
      <c r="B197" s="5" t="str">
        <f t="shared" si="7"/>
        <v>Customer Service Representative Company D</v>
      </c>
      <c r="C197" t="s">
        <v>125</v>
      </c>
      <c r="D197" t="s">
        <v>65</v>
      </c>
      <c r="E197" s="10" t="s">
        <v>193</v>
      </c>
      <c r="F197" s="10" t="s">
        <v>136</v>
      </c>
      <c r="G197" s="10" t="s">
        <v>137</v>
      </c>
      <c r="H197" s="10" t="s">
        <v>138</v>
      </c>
      <c r="I197" s="10" t="s">
        <v>136</v>
      </c>
      <c r="J197" s="10" t="s">
        <v>139</v>
      </c>
    </row>
    <row r="198" spans="1:10" x14ac:dyDescent="0.45">
      <c r="A198" s="5" t="str">
        <f t="shared" si="6"/>
        <v>Customer Service RepresentativeCompany E</v>
      </c>
      <c r="B198" s="5" t="str">
        <f t="shared" si="7"/>
        <v>Customer Service Representative Company E</v>
      </c>
      <c r="C198" t="s">
        <v>125</v>
      </c>
      <c r="D198" t="s">
        <v>52</v>
      </c>
      <c r="E198" s="10" t="s">
        <v>194</v>
      </c>
      <c r="F198" s="10" t="s">
        <v>140</v>
      </c>
      <c r="G198" s="10" t="s">
        <v>141</v>
      </c>
      <c r="H198" s="10" t="s">
        <v>142</v>
      </c>
      <c r="I198" s="10" t="s">
        <v>143</v>
      </c>
      <c r="J198" s="10" t="s">
        <v>144</v>
      </c>
    </row>
    <row r="199" spans="1:10" x14ac:dyDescent="0.45">
      <c r="A199" s="5" t="str">
        <f t="shared" si="6"/>
        <v/>
      </c>
      <c r="B199" s="5" t="str">
        <f t="shared" si="7"/>
        <v xml:space="preserve"> </v>
      </c>
    </row>
    <row r="200" spans="1:10" x14ac:dyDescent="0.45">
      <c r="A200" s="5" t="str">
        <f t="shared" si="6"/>
        <v>BaristaCompany A</v>
      </c>
      <c r="B200" s="5" t="str">
        <f t="shared" si="7"/>
        <v>Barista Company A</v>
      </c>
      <c r="C200" t="s">
        <v>76</v>
      </c>
      <c r="D200" t="s">
        <v>64</v>
      </c>
      <c r="E200" s="10" t="s">
        <v>77</v>
      </c>
      <c r="F200" s="10" t="s">
        <v>77</v>
      </c>
      <c r="G200" s="10" t="s">
        <v>77</v>
      </c>
      <c r="H200" s="10" t="s">
        <v>77</v>
      </c>
      <c r="I200" s="10" t="s">
        <v>77</v>
      </c>
      <c r="J200" s="10" t="s">
        <v>77</v>
      </c>
    </row>
    <row r="201" spans="1:10" x14ac:dyDescent="0.45">
      <c r="A201" s="5" t="str">
        <f t="shared" si="6"/>
        <v>BaristaCompany B</v>
      </c>
      <c r="B201" s="5" t="str">
        <f t="shared" si="7"/>
        <v>Barista Company B</v>
      </c>
      <c r="C201" t="s">
        <v>76</v>
      </c>
      <c r="D201" t="s">
        <v>53</v>
      </c>
      <c r="E201" s="10" t="s">
        <v>151</v>
      </c>
      <c r="F201" s="10" t="s">
        <v>151</v>
      </c>
      <c r="G201" s="10" t="s">
        <v>151</v>
      </c>
      <c r="H201" s="10" t="s">
        <v>151</v>
      </c>
      <c r="I201" s="10" t="s">
        <v>151</v>
      </c>
      <c r="J201" s="10" t="s">
        <v>151</v>
      </c>
    </row>
    <row r="202" spans="1:10" x14ac:dyDescent="0.45">
      <c r="A202" s="5" t="str">
        <f t="shared" si="6"/>
        <v>BaristaCompany C</v>
      </c>
      <c r="B202" s="5" t="str">
        <f t="shared" si="7"/>
        <v>Barista Company C</v>
      </c>
      <c r="C202" t="s">
        <v>76</v>
      </c>
      <c r="D202" t="s">
        <v>54</v>
      </c>
      <c r="E202" s="10" t="s">
        <v>195</v>
      </c>
      <c r="F202" s="10" t="s">
        <v>152</v>
      </c>
      <c r="G202" s="10" t="s">
        <v>153</v>
      </c>
      <c r="H202" s="10" t="s">
        <v>153</v>
      </c>
      <c r="I202" s="10" t="s">
        <v>154</v>
      </c>
      <c r="J202" s="10" t="s">
        <v>154</v>
      </c>
    </row>
    <row r="203" spans="1:10" x14ac:dyDescent="0.45">
      <c r="A203" s="5" t="str">
        <f t="shared" si="6"/>
        <v>BaristaCompany D</v>
      </c>
      <c r="B203" s="5" t="str">
        <f t="shared" si="7"/>
        <v>Barista Company D</v>
      </c>
      <c r="C203" t="s">
        <v>76</v>
      </c>
      <c r="D203" t="s">
        <v>65</v>
      </c>
      <c r="E203" s="10" t="s">
        <v>196</v>
      </c>
      <c r="F203" s="10" t="s">
        <v>155</v>
      </c>
      <c r="G203" s="10" t="s">
        <v>156</v>
      </c>
      <c r="H203" s="10" t="s">
        <v>157</v>
      </c>
      <c r="I203" s="10" t="s">
        <v>158</v>
      </c>
      <c r="J203" s="10" t="s">
        <v>159</v>
      </c>
    </row>
    <row r="204" spans="1:10" x14ac:dyDescent="0.45">
      <c r="A204" s="5" t="str">
        <f t="shared" si="6"/>
        <v>BaristaCompany E</v>
      </c>
      <c r="B204" s="5" t="str">
        <f t="shared" si="7"/>
        <v>Barista Company E</v>
      </c>
      <c r="C204" t="s">
        <v>76</v>
      </c>
      <c r="D204" t="s">
        <v>52</v>
      </c>
      <c r="E204" s="10" t="s">
        <v>197</v>
      </c>
      <c r="F204" s="10" t="s">
        <v>160</v>
      </c>
      <c r="G204" s="10" t="s">
        <v>78</v>
      </c>
      <c r="H204" s="10" t="s">
        <v>78</v>
      </c>
      <c r="I204" s="10" t="s">
        <v>161</v>
      </c>
      <c r="J204" s="10" t="s">
        <v>162</v>
      </c>
    </row>
    <row r="205" spans="1:10" x14ac:dyDescent="0.45">
      <c r="A205" s="5" t="str">
        <f t="shared" si="6"/>
        <v>BaristaCompany F</v>
      </c>
      <c r="B205" s="5" t="str">
        <f t="shared" si="7"/>
        <v>Barista Company F</v>
      </c>
      <c r="C205" t="s">
        <v>76</v>
      </c>
      <c r="D205" t="s">
        <v>66</v>
      </c>
      <c r="E205" s="10" t="s">
        <v>850</v>
      </c>
      <c r="F205" s="10" t="s">
        <v>849</v>
      </c>
      <c r="G205" s="10" t="s">
        <v>851</v>
      </c>
      <c r="H205" s="10" t="s">
        <v>852</v>
      </c>
      <c r="I205" s="10" t="s">
        <v>853</v>
      </c>
      <c r="J205" s="10" t="s">
        <v>854</v>
      </c>
    </row>
    <row r="206" spans="1:10" x14ac:dyDescent="0.45">
      <c r="A206" s="5" t="str">
        <f t="shared" si="6"/>
        <v/>
      </c>
      <c r="B206" s="5" t="str">
        <f t="shared" si="7"/>
        <v xml:space="preserve"> </v>
      </c>
    </row>
    <row r="207" spans="1:10" x14ac:dyDescent="0.45">
      <c r="A207" s="5" t="str">
        <f t="shared" si="6"/>
        <v>HostCompany A</v>
      </c>
      <c r="B207" s="5" t="str">
        <f t="shared" si="7"/>
        <v>Host Company A</v>
      </c>
      <c r="C207" t="s">
        <v>11</v>
      </c>
      <c r="D207" t="s">
        <v>64</v>
      </c>
      <c r="E207" s="10" t="s">
        <v>75</v>
      </c>
      <c r="F207" s="10" t="s">
        <v>75</v>
      </c>
      <c r="G207" s="10" t="s">
        <v>75</v>
      </c>
      <c r="H207" s="10" t="s">
        <v>75</v>
      </c>
      <c r="I207" s="10" t="s">
        <v>75</v>
      </c>
      <c r="J207" s="10" t="s">
        <v>75</v>
      </c>
    </row>
    <row r="208" spans="1:10" x14ac:dyDescent="0.45">
      <c r="A208" s="5" t="str">
        <f t="shared" si="6"/>
        <v>HostCompany B</v>
      </c>
      <c r="B208" s="5" t="str">
        <f t="shared" si="7"/>
        <v>Host Company B</v>
      </c>
      <c r="C208" t="s">
        <v>11</v>
      </c>
      <c r="D208" t="s">
        <v>53</v>
      </c>
      <c r="E208" s="10" t="s">
        <v>61</v>
      </c>
      <c r="F208" s="10" t="s">
        <v>61</v>
      </c>
      <c r="G208" s="10" t="s">
        <v>61</v>
      </c>
      <c r="H208" s="10" t="s">
        <v>61</v>
      </c>
      <c r="I208" s="10" t="s">
        <v>61</v>
      </c>
      <c r="J208" s="10" t="s">
        <v>61</v>
      </c>
    </row>
    <row r="209" spans="1:10" x14ac:dyDescent="0.45">
      <c r="A209" s="5" t="str">
        <f t="shared" si="6"/>
        <v/>
      </c>
      <c r="B209" s="5" t="str">
        <f t="shared" si="7"/>
        <v xml:space="preserve"> </v>
      </c>
    </row>
    <row r="210" spans="1:10" x14ac:dyDescent="0.45">
      <c r="A210" s="5" t="str">
        <f t="shared" si="6"/>
        <v>Crew MemberCompany A</v>
      </c>
      <c r="B210" s="5" t="str">
        <f t="shared" si="7"/>
        <v>Crew Member Company A</v>
      </c>
      <c r="C210" t="s">
        <v>163</v>
      </c>
      <c r="D210" t="s">
        <v>64</v>
      </c>
      <c r="E210" t="s">
        <v>58</v>
      </c>
      <c r="F210" t="s">
        <v>58</v>
      </c>
      <c r="G210" t="s">
        <v>58</v>
      </c>
      <c r="H210" t="s">
        <v>58</v>
      </c>
      <c r="I210" t="s">
        <v>58</v>
      </c>
      <c r="J210" t="s">
        <v>58</v>
      </c>
    </row>
    <row r="211" spans="1:10" x14ac:dyDescent="0.45">
      <c r="A211" s="5" t="str">
        <f t="shared" si="6"/>
        <v>Crew MemberCompany B</v>
      </c>
      <c r="B211" s="5" t="str">
        <f t="shared" si="7"/>
        <v>Crew Member Company B</v>
      </c>
      <c r="C211" t="s">
        <v>163</v>
      </c>
      <c r="D211" t="s">
        <v>53</v>
      </c>
      <c r="E211" t="s">
        <v>206</v>
      </c>
      <c r="F211" t="s">
        <v>206</v>
      </c>
      <c r="G211" t="s">
        <v>206</v>
      </c>
      <c r="H211" t="s">
        <v>206</v>
      </c>
      <c r="I211" t="s">
        <v>206</v>
      </c>
      <c r="J211" t="s">
        <v>206</v>
      </c>
    </row>
    <row r="212" spans="1:10" x14ac:dyDescent="0.45">
      <c r="A212" s="5" t="str">
        <f t="shared" si="6"/>
        <v>Crew MemberCompany C</v>
      </c>
      <c r="B212" s="5" t="str">
        <f t="shared" si="7"/>
        <v>Crew Member Company C</v>
      </c>
      <c r="C212" t="s">
        <v>163</v>
      </c>
      <c r="D212" t="s">
        <v>54</v>
      </c>
      <c r="E212" t="s">
        <v>207</v>
      </c>
      <c r="F212" t="s">
        <v>207</v>
      </c>
      <c r="G212" t="s">
        <v>207</v>
      </c>
      <c r="H212" t="s">
        <v>207</v>
      </c>
      <c r="I212" t="s">
        <v>207</v>
      </c>
      <c r="J212" t="s">
        <v>207</v>
      </c>
    </row>
    <row r="213" spans="1:10" x14ac:dyDescent="0.45">
      <c r="A213" s="5" t="str">
        <f t="shared" si="6"/>
        <v>Crew MemberCompany D</v>
      </c>
      <c r="B213" s="5" t="str">
        <f t="shared" si="7"/>
        <v>Crew Member Company D</v>
      </c>
      <c r="C213" t="s">
        <v>163</v>
      </c>
      <c r="D213" t="s">
        <v>65</v>
      </c>
      <c r="E213" t="s">
        <v>359</v>
      </c>
      <c r="F213" t="s">
        <v>359</v>
      </c>
      <c r="G213" t="s">
        <v>359</v>
      </c>
      <c r="H213" t="s">
        <v>359</v>
      </c>
      <c r="I213" t="s">
        <v>359</v>
      </c>
      <c r="J213" t="s">
        <v>359</v>
      </c>
    </row>
    <row r="214" spans="1:10" x14ac:dyDescent="0.45">
      <c r="A214" s="5" t="str">
        <f t="shared" si="6"/>
        <v/>
      </c>
      <c r="B214" s="5" t="str">
        <f t="shared" si="7"/>
        <v xml:space="preserve"> </v>
      </c>
    </row>
    <row r="215" spans="1:10" x14ac:dyDescent="0.45">
      <c r="A215" s="5" t="str">
        <f t="shared" si="6"/>
        <v>CaregiverCompany A</v>
      </c>
      <c r="B215" s="5" t="str">
        <f t="shared" si="7"/>
        <v>Caregiver Company A</v>
      </c>
      <c r="C215" t="s">
        <v>85</v>
      </c>
      <c r="D215" t="s">
        <v>64</v>
      </c>
      <c r="E215" s="10" t="s">
        <v>177</v>
      </c>
      <c r="F215" s="10" t="s">
        <v>173</v>
      </c>
      <c r="G215" s="10" t="s">
        <v>174</v>
      </c>
      <c r="H215" s="10" t="s">
        <v>175</v>
      </c>
      <c r="I215" s="10" t="s">
        <v>176</v>
      </c>
      <c r="J215" s="10" t="s">
        <v>177</v>
      </c>
    </row>
    <row r="216" spans="1:10" x14ac:dyDescent="0.45">
      <c r="A216" s="5" t="str">
        <f t="shared" si="6"/>
        <v>CaregiverCompany B</v>
      </c>
      <c r="B216" s="5" t="str">
        <f t="shared" si="7"/>
        <v>Caregiver Company B</v>
      </c>
      <c r="C216" t="s">
        <v>85</v>
      </c>
      <c r="D216" t="s">
        <v>53</v>
      </c>
      <c r="E216" s="10" t="s">
        <v>692</v>
      </c>
      <c r="F216" s="10" t="s">
        <v>691</v>
      </c>
      <c r="G216" s="10" t="s">
        <v>688</v>
      </c>
      <c r="H216" s="10" t="s">
        <v>687</v>
      </c>
      <c r="I216" s="10" t="s">
        <v>689</v>
      </c>
      <c r="J216" s="10" t="s">
        <v>690</v>
      </c>
    </row>
    <row r="217" spans="1:10" x14ac:dyDescent="0.45">
      <c r="A217" s="5" t="str">
        <f t="shared" si="6"/>
        <v>CaregiverCompany C</v>
      </c>
      <c r="B217" s="5" t="str">
        <f t="shared" si="7"/>
        <v>Caregiver Company C</v>
      </c>
      <c r="C217" t="s">
        <v>85</v>
      </c>
      <c r="D217" t="s">
        <v>54</v>
      </c>
      <c r="E217" s="10" t="s">
        <v>514</v>
      </c>
      <c r="F217" s="10" t="s">
        <v>518</v>
      </c>
      <c r="G217" s="10" t="s">
        <v>523</v>
      </c>
      <c r="H217" s="10" t="s">
        <v>530</v>
      </c>
      <c r="I217" s="10" t="s">
        <v>533</v>
      </c>
      <c r="J217" s="10" t="s">
        <v>535</v>
      </c>
    </row>
    <row r="218" spans="1:10" x14ac:dyDescent="0.45">
      <c r="A218" s="5" t="str">
        <f t="shared" si="6"/>
        <v/>
      </c>
      <c r="B218" s="5" t="str">
        <f t="shared" si="7"/>
        <v xml:space="preserve"> </v>
      </c>
    </row>
    <row r="219" spans="1:10" x14ac:dyDescent="0.45">
      <c r="A219" s="5" t="str">
        <f t="shared" si="6"/>
        <v>LifeguardCompany ZA</v>
      </c>
      <c r="B219" s="5" t="str">
        <f t="shared" si="7"/>
        <v>Lifeguard Company ZA</v>
      </c>
      <c r="C219" t="s">
        <v>166</v>
      </c>
      <c r="D219" t="s">
        <v>242</v>
      </c>
      <c r="E219" s="10" t="s">
        <v>178</v>
      </c>
      <c r="F219" s="10" t="s">
        <v>178</v>
      </c>
      <c r="G219" s="10" t="s">
        <v>178</v>
      </c>
      <c r="H219" s="10" t="s">
        <v>178</v>
      </c>
      <c r="I219" s="10" t="s">
        <v>178</v>
      </c>
      <c r="J219" s="10" t="s">
        <v>178</v>
      </c>
    </row>
    <row r="220" spans="1:10" x14ac:dyDescent="0.45">
      <c r="A220" s="5" t="str">
        <f t="shared" si="6"/>
        <v>LifeguardCompany ZB</v>
      </c>
      <c r="B220" s="5" t="str">
        <f t="shared" si="7"/>
        <v>Lifeguard Company ZB</v>
      </c>
      <c r="C220" t="s">
        <v>166</v>
      </c>
      <c r="D220" t="s">
        <v>243</v>
      </c>
      <c r="E220" s="10" t="s">
        <v>199</v>
      </c>
      <c r="F220" s="10" t="s">
        <v>179</v>
      </c>
      <c r="G220" s="10" t="s">
        <v>180</v>
      </c>
      <c r="H220" s="10" t="s">
        <v>181</v>
      </c>
      <c r="I220" s="10" t="s">
        <v>182</v>
      </c>
      <c r="J220" s="10" t="s">
        <v>183</v>
      </c>
    </row>
    <row r="221" spans="1:10" x14ac:dyDescent="0.45">
      <c r="A221" s="5" t="str">
        <f t="shared" si="6"/>
        <v/>
      </c>
      <c r="B221" s="5" t="str">
        <f t="shared" si="7"/>
        <v xml:space="preserve"> </v>
      </c>
    </row>
    <row r="222" spans="1:10" x14ac:dyDescent="0.45">
      <c r="A222" s="5" t="str">
        <f t="shared" si="6"/>
        <v>DishwasherCompany ZA</v>
      </c>
      <c r="B222" s="5" t="str">
        <f t="shared" si="7"/>
        <v>Dishwasher Company ZA</v>
      </c>
      <c r="C222" t="s">
        <v>167</v>
      </c>
      <c r="D222" t="s">
        <v>242</v>
      </c>
      <c r="E222" s="10" t="s">
        <v>184</v>
      </c>
      <c r="F222" s="10" t="s">
        <v>184</v>
      </c>
      <c r="G222" s="10" t="s">
        <v>184</v>
      </c>
      <c r="H222" s="10" t="s">
        <v>184</v>
      </c>
      <c r="I222" s="10" t="s">
        <v>184</v>
      </c>
      <c r="J222" s="10" t="s">
        <v>184</v>
      </c>
    </row>
    <row r="223" spans="1:10" x14ac:dyDescent="0.45">
      <c r="A223" s="5" t="str">
        <f t="shared" si="6"/>
        <v>DishwasherCompany A</v>
      </c>
      <c r="B223" s="5" t="str">
        <f t="shared" si="7"/>
        <v>Dishwasher Company A</v>
      </c>
      <c r="C223" t="s">
        <v>167</v>
      </c>
      <c r="D223" t="s">
        <v>64</v>
      </c>
      <c r="E223" s="10" t="s">
        <v>185</v>
      </c>
      <c r="F223" s="10" t="s">
        <v>185</v>
      </c>
      <c r="G223" s="10" t="s">
        <v>185</v>
      </c>
      <c r="H223" s="10" t="s">
        <v>185</v>
      </c>
      <c r="I223" s="10" t="s">
        <v>186</v>
      </c>
      <c r="J223" s="10" t="s">
        <v>187</v>
      </c>
    </row>
    <row r="224" spans="1:10" x14ac:dyDescent="0.45">
      <c r="A224" s="5" t="str">
        <f t="shared" si="6"/>
        <v>DishwasherCompany B</v>
      </c>
      <c r="B224" s="5" t="str">
        <f t="shared" si="7"/>
        <v>Dishwasher Company B</v>
      </c>
      <c r="C224" t="s">
        <v>167</v>
      </c>
      <c r="D224" t="s">
        <v>53</v>
      </c>
      <c r="E224" s="10" t="s">
        <v>612</v>
      </c>
      <c r="F224" s="10" t="s">
        <v>613</v>
      </c>
      <c r="G224" s="10" t="s">
        <v>613</v>
      </c>
      <c r="H224" s="10" t="s">
        <v>613</v>
      </c>
      <c r="I224" s="10" t="s">
        <v>613</v>
      </c>
      <c r="J224" s="10" t="s">
        <v>613</v>
      </c>
    </row>
    <row r="225" spans="1:11" x14ac:dyDescent="0.45">
      <c r="A225" s="5" t="str">
        <f t="shared" si="6"/>
        <v>DishwasherCompany C</v>
      </c>
      <c r="B225" s="5" t="str">
        <f t="shared" si="7"/>
        <v>Dishwasher Company C</v>
      </c>
      <c r="C225" t="s">
        <v>167</v>
      </c>
      <c r="D225" t="s">
        <v>54</v>
      </c>
      <c r="E225" s="10" t="s">
        <v>75</v>
      </c>
      <c r="F225" s="10" t="s">
        <v>75</v>
      </c>
      <c r="G225" s="10" t="s">
        <v>75</v>
      </c>
      <c r="H225" s="10" t="s">
        <v>75</v>
      </c>
      <c r="I225" s="10" t="s">
        <v>75</v>
      </c>
      <c r="J225" s="10" t="s">
        <v>75</v>
      </c>
    </row>
    <row r="226" spans="1:11" x14ac:dyDescent="0.45">
      <c r="A226" s="5" t="str">
        <f t="shared" si="6"/>
        <v/>
      </c>
      <c r="B226" s="5" t="str">
        <f t="shared" si="7"/>
        <v xml:space="preserve"> </v>
      </c>
      <c r="E226"/>
      <c r="F226"/>
      <c r="G226"/>
      <c r="H226"/>
      <c r="I226"/>
      <c r="J226"/>
    </row>
    <row r="227" spans="1:11" x14ac:dyDescent="0.45">
      <c r="A227" s="5" t="str">
        <f t="shared" si="6"/>
        <v>Security GuardCompany A</v>
      </c>
      <c r="B227" s="5" t="str">
        <f t="shared" si="7"/>
        <v>Security Guard Company A</v>
      </c>
      <c r="C227" t="s">
        <v>355</v>
      </c>
      <c r="D227" t="s">
        <v>64</v>
      </c>
      <c r="E227" s="10" t="s">
        <v>357</v>
      </c>
      <c r="F227" s="10" t="s">
        <v>357</v>
      </c>
      <c r="G227" s="10" t="s">
        <v>357</v>
      </c>
      <c r="H227" s="10" t="s">
        <v>357</v>
      </c>
      <c r="I227" s="10" t="s">
        <v>357</v>
      </c>
      <c r="J227" s="10" t="s">
        <v>357</v>
      </c>
    </row>
    <row r="228" spans="1:11" x14ac:dyDescent="0.45">
      <c r="A228" s="5" t="str">
        <f t="shared" si="6"/>
        <v>Campus Security OfficerCompany B</v>
      </c>
      <c r="B228" s="5" t="str">
        <f t="shared" si="7"/>
        <v>Campus Security Officer Company B</v>
      </c>
      <c r="C228" t="s">
        <v>356</v>
      </c>
      <c r="D228" t="s">
        <v>53</v>
      </c>
      <c r="E228" t="s">
        <v>245</v>
      </c>
      <c r="F228" t="s">
        <v>247</v>
      </c>
      <c r="G228" t="s">
        <v>249</v>
      </c>
      <c r="H228" t="s">
        <v>250</v>
      </c>
      <c r="I228" t="s">
        <v>252</v>
      </c>
      <c r="J228" t="s">
        <v>254</v>
      </c>
    </row>
    <row r="229" spans="1:11" x14ac:dyDescent="0.45">
      <c r="A229" s="5" t="str">
        <f t="shared" si="6"/>
        <v>Transportation Security OfficerCompany C</v>
      </c>
      <c r="B229" s="5" t="str">
        <f t="shared" si="7"/>
        <v>Transportation Security Officer Company C</v>
      </c>
      <c r="C229" t="s">
        <v>554</v>
      </c>
      <c r="D229" t="s">
        <v>54</v>
      </c>
      <c r="E229" s="10" t="s">
        <v>462</v>
      </c>
      <c r="F229" s="10" t="s">
        <v>462</v>
      </c>
      <c r="G229" s="10" t="s">
        <v>462</v>
      </c>
      <c r="H229" s="10" t="s">
        <v>462</v>
      </c>
      <c r="I229" s="10" t="s">
        <v>462</v>
      </c>
      <c r="J229" s="10" t="s">
        <v>462</v>
      </c>
    </row>
    <row r="230" spans="1:11" x14ac:dyDescent="0.45">
      <c r="A230" s="5" t="str">
        <f t="shared" si="6"/>
        <v/>
      </c>
      <c r="B230" s="5" t="str">
        <f t="shared" si="7"/>
        <v xml:space="preserve"> </v>
      </c>
    </row>
    <row r="231" spans="1:11" x14ac:dyDescent="0.45">
      <c r="A231" s="5" t="str">
        <f t="shared" si="6"/>
        <v>LaborerCompany A</v>
      </c>
      <c r="B231" s="5" t="str">
        <f t="shared" si="7"/>
        <v>Laborer Company A</v>
      </c>
      <c r="C231" t="s">
        <v>363</v>
      </c>
      <c r="D231" t="s">
        <v>64</v>
      </c>
      <c r="E231" s="10" t="s">
        <v>364</v>
      </c>
      <c r="F231" s="10" t="s">
        <v>368</v>
      </c>
      <c r="G231" s="10" t="s">
        <v>372</v>
      </c>
      <c r="H231" s="10" t="s">
        <v>373</v>
      </c>
      <c r="I231" s="10" t="s">
        <v>369</v>
      </c>
      <c r="J231" s="10" t="s">
        <v>370</v>
      </c>
      <c r="K231" s="10"/>
    </row>
    <row r="232" spans="1:11" x14ac:dyDescent="0.45">
      <c r="A232" s="5" t="str">
        <f t="shared" si="6"/>
        <v>LaborerCompany B</v>
      </c>
      <c r="B232" s="5" t="str">
        <f t="shared" si="7"/>
        <v>Laborer Company B</v>
      </c>
      <c r="C232" t="s">
        <v>363</v>
      </c>
      <c r="D232" t="s">
        <v>53</v>
      </c>
      <c r="E232" s="10" t="s">
        <v>365</v>
      </c>
      <c r="F232" s="10" t="s">
        <v>371</v>
      </c>
      <c r="G232" s="10" t="s">
        <v>374</v>
      </c>
      <c r="H232" s="10" t="s">
        <v>377</v>
      </c>
      <c r="I232" s="10" t="s">
        <v>375</v>
      </c>
      <c r="J232" s="10" t="s">
        <v>376</v>
      </c>
      <c r="K232" s="10"/>
    </row>
    <row r="233" spans="1:11" x14ac:dyDescent="0.45">
      <c r="A233" s="5" t="str">
        <f t="shared" si="6"/>
        <v>General LaborerCompany C</v>
      </c>
      <c r="B233" s="5" t="str">
        <f t="shared" si="7"/>
        <v>General Laborer Company C</v>
      </c>
      <c r="C233" t="s">
        <v>482</v>
      </c>
      <c r="D233" t="s">
        <v>54</v>
      </c>
      <c r="E233" s="10" t="s">
        <v>475</v>
      </c>
      <c r="F233" s="10" t="s">
        <v>475</v>
      </c>
      <c r="G233" s="10" t="s">
        <v>475</v>
      </c>
      <c r="H233" s="10" t="s">
        <v>475</v>
      </c>
      <c r="I233" s="10" t="s">
        <v>475</v>
      </c>
      <c r="J233" s="10" t="s">
        <v>475</v>
      </c>
      <c r="K233" s="10"/>
    </row>
    <row r="234" spans="1:11" x14ac:dyDescent="0.45">
      <c r="A234" s="5" t="str">
        <f t="shared" si="6"/>
        <v/>
      </c>
      <c r="B234" s="5" t="str">
        <f t="shared" si="7"/>
        <v xml:space="preserve"> </v>
      </c>
      <c r="K234" s="10"/>
    </row>
    <row r="235" spans="1:11" x14ac:dyDescent="0.45">
      <c r="A235" s="5" t="str">
        <f t="shared" si="6"/>
        <v>General LaborerCompany A</v>
      </c>
      <c r="B235" s="5" t="str">
        <f t="shared" si="7"/>
        <v>General Laborer Company A</v>
      </c>
      <c r="C235" s="21" t="s">
        <v>482</v>
      </c>
      <c r="D235" s="21" t="s">
        <v>64</v>
      </c>
      <c r="E235" s="21" t="s">
        <v>364</v>
      </c>
      <c r="F235" s="21" t="s">
        <v>368</v>
      </c>
      <c r="G235" s="21" t="s">
        <v>372</v>
      </c>
      <c r="H235" s="21" t="s">
        <v>373</v>
      </c>
      <c r="I235" s="21" t="s">
        <v>369</v>
      </c>
      <c r="J235" s="21" t="s">
        <v>370</v>
      </c>
      <c r="K235" s="10"/>
    </row>
    <row r="236" spans="1:11" x14ac:dyDescent="0.45">
      <c r="A236" s="5" t="str">
        <f t="shared" si="6"/>
        <v>General LaborerCompany B</v>
      </c>
      <c r="B236" s="5" t="str">
        <f t="shared" si="7"/>
        <v>General Laborer Company B</v>
      </c>
      <c r="C236" s="21" t="s">
        <v>482</v>
      </c>
      <c r="D236" s="21" t="s">
        <v>53</v>
      </c>
      <c r="E236" s="21" t="s">
        <v>365</v>
      </c>
      <c r="F236" s="21" t="s">
        <v>371</v>
      </c>
      <c r="G236" s="21" t="s">
        <v>374</v>
      </c>
      <c r="H236" s="21" t="s">
        <v>377</v>
      </c>
      <c r="I236" s="21" t="s">
        <v>375</v>
      </c>
      <c r="J236" s="21" t="s">
        <v>376</v>
      </c>
      <c r="K236" s="10"/>
    </row>
    <row r="237" spans="1:11" x14ac:dyDescent="0.45">
      <c r="A237" s="5" t="str">
        <f t="shared" si="6"/>
        <v>LaborerCompany C</v>
      </c>
      <c r="B237" s="5" t="str">
        <f t="shared" si="7"/>
        <v>Laborer Company C</v>
      </c>
      <c r="C237" s="21" t="s">
        <v>363</v>
      </c>
      <c r="D237" s="21" t="s">
        <v>54</v>
      </c>
      <c r="E237" s="21" t="s">
        <v>475</v>
      </c>
      <c r="F237" s="21" t="s">
        <v>475</v>
      </c>
      <c r="G237" s="21" t="s">
        <v>475</v>
      </c>
      <c r="H237" s="21" t="s">
        <v>475</v>
      </c>
      <c r="I237" s="21" t="s">
        <v>475</v>
      </c>
      <c r="J237" s="21" t="s">
        <v>475</v>
      </c>
      <c r="K237" s="10"/>
    </row>
    <row r="238" spans="1:11" x14ac:dyDescent="0.45">
      <c r="A238" s="5" t="str">
        <f t="shared" si="6"/>
        <v/>
      </c>
      <c r="B238" s="5" t="str">
        <f t="shared" si="7"/>
        <v xml:space="preserve"> </v>
      </c>
    </row>
    <row r="239" spans="1:11" x14ac:dyDescent="0.45">
      <c r="A239" s="5" t="str">
        <f t="shared" si="6"/>
        <v>BartenderCompany A</v>
      </c>
      <c r="B239" s="5" t="str">
        <f t="shared" si="7"/>
        <v>Bartender Company A</v>
      </c>
      <c r="C239" t="s">
        <v>425</v>
      </c>
      <c r="D239" t="s">
        <v>64</v>
      </c>
      <c r="E239" s="10" t="s">
        <v>426</v>
      </c>
      <c r="F239" s="10" t="s">
        <v>427</v>
      </c>
      <c r="G239" s="10" t="s">
        <v>430</v>
      </c>
      <c r="H239" s="10" t="s">
        <v>432</v>
      </c>
      <c r="I239" s="10" t="s">
        <v>434</v>
      </c>
      <c r="J239" s="10" t="s">
        <v>435</v>
      </c>
    </row>
    <row r="240" spans="1:11" x14ac:dyDescent="0.45">
      <c r="A240" s="5" t="str">
        <f t="shared" si="6"/>
        <v>BartenderCompany B</v>
      </c>
      <c r="B240" s="5" t="str">
        <f t="shared" si="7"/>
        <v>Bartender Company B</v>
      </c>
      <c r="C240" t="s">
        <v>425</v>
      </c>
      <c r="D240" t="s">
        <v>53</v>
      </c>
      <c r="E240" s="10" t="s">
        <v>428</v>
      </c>
      <c r="F240" s="10" t="s">
        <v>428</v>
      </c>
      <c r="G240" s="10" t="s">
        <v>429</v>
      </c>
      <c r="H240" s="10" t="s">
        <v>431</v>
      </c>
      <c r="I240" s="10" t="s">
        <v>433</v>
      </c>
      <c r="J240" s="10" t="s">
        <v>436</v>
      </c>
      <c r="K240" s="10"/>
    </row>
    <row r="241" spans="1:10" x14ac:dyDescent="0.45">
      <c r="A241" s="5" t="str">
        <f t="shared" si="6"/>
        <v/>
      </c>
      <c r="B241" s="5" t="str">
        <f t="shared" si="7"/>
        <v xml:space="preserve"> </v>
      </c>
    </row>
    <row r="242" spans="1:10" x14ac:dyDescent="0.45">
      <c r="A242" s="5" t="str">
        <f t="shared" si="6"/>
        <v>CarpenterCompany A</v>
      </c>
      <c r="B242" s="5" t="str">
        <f t="shared" si="7"/>
        <v>Carpenter Company A</v>
      </c>
      <c r="C242" t="s">
        <v>483</v>
      </c>
      <c r="D242" t="s">
        <v>64</v>
      </c>
      <c r="E242" s="10" t="s">
        <v>484</v>
      </c>
      <c r="F242" s="10" t="s">
        <v>485</v>
      </c>
      <c r="G242" s="10" t="s">
        <v>486</v>
      </c>
      <c r="H242" s="10" t="s">
        <v>487</v>
      </c>
      <c r="I242" s="10" t="s">
        <v>488</v>
      </c>
      <c r="J242" s="10" t="s">
        <v>489</v>
      </c>
    </row>
    <row r="243" spans="1:10" x14ac:dyDescent="0.45">
      <c r="A243" s="5" t="str">
        <f t="shared" si="6"/>
        <v/>
      </c>
      <c r="B243" s="5" t="str">
        <f t="shared" si="7"/>
        <v xml:space="preserve"> </v>
      </c>
    </row>
    <row r="244" spans="1:10" x14ac:dyDescent="0.45">
      <c r="A244" s="5" t="str">
        <f t="shared" si="6"/>
        <v>Dental AssistantCompany A</v>
      </c>
      <c r="B244" s="5" t="str">
        <f t="shared" si="7"/>
        <v>Dental Assistant Company A</v>
      </c>
      <c r="C244" t="s">
        <v>537</v>
      </c>
      <c r="D244" t="s">
        <v>64</v>
      </c>
      <c r="E244" s="10" t="s">
        <v>547</v>
      </c>
      <c r="F244" s="10" t="s">
        <v>546</v>
      </c>
      <c r="G244" s="10" t="s">
        <v>548</v>
      </c>
      <c r="H244" s="10" t="s">
        <v>106</v>
      </c>
      <c r="I244" s="10" t="s">
        <v>545</v>
      </c>
      <c r="J244" s="10" t="s">
        <v>544</v>
      </c>
    </row>
    <row r="245" spans="1:10" x14ac:dyDescent="0.45">
      <c r="A245" s="5" t="str">
        <f t="shared" si="6"/>
        <v/>
      </c>
      <c r="B245" s="5" t="str">
        <f t="shared" si="7"/>
        <v xml:space="preserve"> </v>
      </c>
    </row>
    <row r="246" spans="1:10" x14ac:dyDescent="0.45">
      <c r="A246" s="5" t="str">
        <f t="shared" si="6"/>
        <v>Courtesy ClerkCompany A</v>
      </c>
      <c r="B246" s="5" t="str">
        <f t="shared" si="7"/>
        <v>Courtesy Clerk Company A</v>
      </c>
      <c r="C246" t="s">
        <v>806</v>
      </c>
      <c r="D246" t="s">
        <v>64</v>
      </c>
      <c r="E246" s="10" t="s">
        <v>812</v>
      </c>
      <c r="F246" s="10" t="s">
        <v>390</v>
      </c>
      <c r="G246" s="10" t="s">
        <v>812</v>
      </c>
      <c r="H246" s="10" t="s">
        <v>811</v>
      </c>
      <c r="I246" s="10" t="s">
        <v>812</v>
      </c>
      <c r="J246" s="10" t="s">
        <v>812</v>
      </c>
    </row>
    <row r="247" spans="1:10" x14ac:dyDescent="0.45">
      <c r="A247" s="5" t="str">
        <f t="shared" si="6"/>
        <v>Courtesy ClerkCompany B</v>
      </c>
      <c r="B247" s="5" t="str">
        <f t="shared" si="7"/>
        <v>Courtesy Clerk Company B</v>
      </c>
      <c r="C247" t="s">
        <v>806</v>
      </c>
      <c r="D247" t="s">
        <v>53</v>
      </c>
      <c r="E247" s="10" t="s">
        <v>807</v>
      </c>
      <c r="F247" s="10" t="s">
        <v>808</v>
      </c>
      <c r="G247" s="10" t="s">
        <v>810</v>
      </c>
      <c r="H247" s="10" t="s">
        <v>391</v>
      </c>
      <c r="I247" s="10" t="s">
        <v>813</v>
      </c>
      <c r="J247" s="10" t="s">
        <v>813</v>
      </c>
    </row>
    <row r="248" spans="1:10" x14ac:dyDescent="0.45">
      <c r="A248" s="5" t="str">
        <f t="shared" si="6"/>
        <v/>
      </c>
      <c r="B248" s="5" t="str">
        <f t="shared" si="7"/>
        <v xml:space="preserve"> </v>
      </c>
    </row>
    <row r="249" spans="1:10" x14ac:dyDescent="0.45">
      <c r="A249" s="5" t="str">
        <f t="shared" si="6"/>
        <v>Tire TechnicianCompany A</v>
      </c>
      <c r="B249" s="5" t="str">
        <f t="shared" si="7"/>
        <v>Tire Technician Company A</v>
      </c>
      <c r="C249" t="s">
        <v>856</v>
      </c>
      <c r="D249" t="s">
        <v>64</v>
      </c>
      <c r="E249" s="10" t="s">
        <v>857</v>
      </c>
      <c r="F249" s="10" t="s">
        <v>857</v>
      </c>
      <c r="G249" s="10" t="s">
        <v>857</v>
      </c>
      <c r="H249" s="10" t="s">
        <v>857</v>
      </c>
      <c r="I249" s="10" t="s">
        <v>857</v>
      </c>
      <c r="J249" s="10" t="s">
        <v>857</v>
      </c>
    </row>
    <row r="250" spans="1:10" x14ac:dyDescent="0.45">
      <c r="A250" s="5" t="str">
        <f t="shared" si="6"/>
        <v/>
      </c>
      <c r="B250" s="5" t="str">
        <f t="shared" si="7"/>
        <v xml:space="preserve"> </v>
      </c>
    </row>
    <row r="251" spans="1:10" x14ac:dyDescent="0.45">
      <c r="A251" s="5" t="str">
        <f t="shared" si="6"/>
        <v>TellerCompany A</v>
      </c>
      <c r="B251" s="5" t="str">
        <f t="shared" si="7"/>
        <v>Teller Company A</v>
      </c>
      <c r="C251" t="s">
        <v>978</v>
      </c>
      <c r="D251" t="s">
        <v>64</v>
      </c>
      <c r="E251" s="10" t="s">
        <v>979</v>
      </c>
      <c r="F251" s="10" t="s">
        <v>979</v>
      </c>
      <c r="G251" s="10" t="s">
        <v>979</v>
      </c>
      <c r="H251" s="10" t="s">
        <v>979</v>
      </c>
      <c r="I251" s="10" t="s">
        <v>979</v>
      </c>
      <c r="J251" s="10" t="s">
        <v>979</v>
      </c>
    </row>
    <row r="252" spans="1:10" x14ac:dyDescent="0.45">
      <c r="A252" s="5" t="str">
        <f t="shared" si="6"/>
        <v/>
      </c>
      <c r="B252" s="5" t="str">
        <f t="shared" si="7"/>
        <v xml:space="preserve"> </v>
      </c>
    </row>
    <row r="253" spans="1:10" x14ac:dyDescent="0.45">
      <c r="A253" s="5" t="str">
        <f t="shared" si="6"/>
        <v/>
      </c>
      <c r="B253" s="5" t="str">
        <f t="shared" si="7"/>
        <v xml:space="preserve"> </v>
      </c>
    </row>
    <row r="254" spans="1:10" x14ac:dyDescent="0.45">
      <c r="A254" s="5" t="str">
        <f t="shared" si="6"/>
        <v/>
      </c>
      <c r="B254" s="5" t="str">
        <f t="shared" si="7"/>
        <v xml:space="preserve"> </v>
      </c>
    </row>
    <row r="255" spans="1:10" x14ac:dyDescent="0.45">
      <c r="A255" s="5" t="str">
        <f t="shared" si="6"/>
        <v/>
      </c>
      <c r="B255" s="5" t="str">
        <f t="shared" si="7"/>
        <v xml:space="preserve"> </v>
      </c>
    </row>
    <row r="256" spans="1:10" x14ac:dyDescent="0.45">
      <c r="A256" s="5" t="str">
        <f t="shared" si="6"/>
        <v/>
      </c>
      <c r="B256" s="5" t="str">
        <f t="shared" si="7"/>
        <v xml:space="preserve"> </v>
      </c>
    </row>
    <row r="257" spans="1:2" x14ac:dyDescent="0.45">
      <c r="A257" s="5" t="str">
        <f t="shared" si="6"/>
        <v/>
      </c>
      <c r="B257" s="5" t="str">
        <f t="shared" si="7"/>
        <v xml:space="preserve"> </v>
      </c>
    </row>
    <row r="258" spans="1:2" x14ac:dyDescent="0.45">
      <c r="A258" s="5" t="str">
        <f t="shared" ref="A258:A321" si="8">C258&amp;D258</f>
        <v/>
      </c>
      <c r="B258" s="5" t="str">
        <f t="shared" ref="B258:B321" si="9">C258&amp;" "&amp;D258</f>
        <v xml:space="preserve"> </v>
      </c>
    </row>
    <row r="259" spans="1:2" x14ac:dyDescent="0.45">
      <c r="A259" s="5" t="str">
        <f t="shared" si="8"/>
        <v/>
      </c>
      <c r="B259" s="5" t="str">
        <f t="shared" si="9"/>
        <v xml:space="preserve"> </v>
      </c>
    </row>
    <row r="260" spans="1:2" x14ac:dyDescent="0.45">
      <c r="A260" s="5" t="str">
        <f t="shared" si="8"/>
        <v/>
      </c>
      <c r="B260" s="5" t="str">
        <f t="shared" si="9"/>
        <v xml:space="preserve"> </v>
      </c>
    </row>
    <row r="261" spans="1:2" x14ac:dyDescent="0.45">
      <c r="A261" s="5" t="str">
        <f t="shared" si="8"/>
        <v/>
      </c>
      <c r="B261" s="5" t="str">
        <f t="shared" si="9"/>
        <v xml:space="preserve"> </v>
      </c>
    </row>
    <row r="262" spans="1:2" x14ac:dyDescent="0.45">
      <c r="A262" s="5" t="str">
        <f t="shared" si="8"/>
        <v/>
      </c>
      <c r="B262" s="5" t="str">
        <f t="shared" si="9"/>
        <v xml:space="preserve"> </v>
      </c>
    </row>
    <row r="263" spans="1:2" x14ac:dyDescent="0.45">
      <c r="A263" s="5" t="str">
        <f t="shared" si="8"/>
        <v/>
      </c>
      <c r="B263" s="5" t="str">
        <f t="shared" si="9"/>
        <v xml:space="preserve"> </v>
      </c>
    </row>
    <row r="264" spans="1:2" x14ac:dyDescent="0.45">
      <c r="A264" s="5" t="str">
        <f t="shared" si="8"/>
        <v/>
      </c>
      <c r="B264" s="5" t="str">
        <f t="shared" si="9"/>
        <v xml:space="preserve"> </v>
      </c>
    </row>
    <row r="265" spans="1:2" x14ac:dyDescent="0.45">
      <c r="A265" s="5" t="str">
        <f t="shared" si="8"/>
        <v/>
      </c>
      <c r="B265" s="5" t="str">
        <f t="shared" si="9"/>
        <v xml:space="preserve"> </v>
      </c>
    </row>
    <row r="266" spans="1:2" x14ac:dyDescent="0.45">
      <c r="A266" s="5" t="str">
        <f t="shared" si="8"/>
        <v/>
      </c>
      <c r="B266" s="5" t="str">
        <f t="shared" si="9"/>
        <v xml:space="preserve"> </v>
      </c>
    </row>
    <row r="267" spans="1:2" x14ac:dyDescent="0.45">
      <c r="A267" s="5" t="str">
        <f t="shared" si="8"/>
        <v/>
      </c>
      <c r="B267" s="5" t="str">
        <f t="shared" si="9"/>
        <v xml:space="preserve"> </v>
      </c>
    </row>
    <row r="268" spans="1:2" x14ac:dyDescent="0.45">
      <c r="A268" s="5" t="str">
        <f t="shared" si="8"/>
        <v/>
      </c>
      <c r="B268" s="5" t="str">
        <f t="shared" si="9"/>
        <v xml:space="preserve"> </v>
      </c>
    </row>
    <row r="269" spans="1:2" x14ac:dyDescent="0.45">
      <c r="A269" s="5" t="str">
        <f t="shared" si="8"/>
        <v/>
      </c>
      <c r="B269" s="5" t="str">
        <f t="shared" si="9"/>
        <v xml:space="preserve"> </v>
      </c>
    </row>
    <row r="270" spans="1:2" x14ac:dyDescent="0.45">
      <c r="A270" s="5" t="str">
        <f t="shared" si="8"/>
        <v/>
      </c>
      <c r="B270" s="5" t="str">
        <f t="shared" si="9"/>
        <v xml:space="preserve"> </v>
      </c>
    </row>
    <row r="271" spans="1:2" x14ac:dyDescent="0.45">
      <c r="A271" s="5" t="str">
        <f t="shared" si="8"/>
        <v/>
      </c>
      <c r="B271" s="5" t="str">
        <f t="shared" si="9"/>
        <v xml:space="preserve"> </v>
      </c>
    </row>
    <row r="272" spans="1:2" x14ac:dyDescent="0.45">
      <c r="A272" s="5" t="str">
        <f t="shared" si="8"/>
        <v/>
      </c>
      <c r="B272" s="5" t="str">
        <f t="shared" si="9"/>
        <v xml:space="preserve"> </v>
      </c>
    </row>
    <row r="273" spans="1:2" x14ac:dyDescent="0.45">
      <c r="A273" s="5" t="str">
        <f t="shared" si="8"/>
        <v/>
      </c>
      <c r="B273" s="5" t="str">
        <f t="shared" si="9"/>
        <v xml:space="preserve"> </v>
      </c>
    </row>
    <row r="274" spans="1:2" x14ac:dyDescent="0.45">
      <c r="A274" s="5" t="str">
        <f t="shared" si="8"/>
        <v/>
      </c>
      <c r="B274" s="5" t="str">
        <f t="shared" si="9"/>
        <v xml:space="preserve"> </v>
      </c>
    </row>
    <row r="275" spans="1:2" x14ac:dyDescent="0.45">
      <c r="A275" s="5" t="str">
        <f t="shared" si="8"/>
        <v/>
      </c>
      <c r="B275" s="5" t="str">
        <f t="shared" si="9"/>
        <v xml:space="preserve"> </v>
      </c>
    </row>
    <row r="276" spans="1:2" x14ac:dyDescent="0.45">
      <c r="A276" s="5" t="str">
        <f t="shared" si="8"/>
        <v/>
      </c>
      <c r="B276" s="5" t="str">
        <f t="shared" si="9"/>
        <v xml:space="preserve"> </v>
      </c>
    </row>
    <row r="277" spans="1:2" x14ac:dyDescent="0.45">
      <c r="A277" s="5" t="str">
        <f t="shared" si="8"/>
        <v/>
      </c>
      <c r="B277" s="5" t="str">
        <f t="shared" si="9"/>
        <v xml:space="preserve"> </v>
      </c>
    </row>
    <row r="278" spans="1:2" x14ac:dyDescent="0.45">
      <c r="A278" s="5" t="str">
        <f t="shared" si="8"/>
        <v/>
      </c>
      <c r="B278" s="5" t="str">
        <f t="shared" si="9"/>
        <v xml:space="preserve"> </v>
      </c>
    </row>
    <row r="279" spans="1:2" x14ac:dyDescent="0.45">
      <c r="A279" s="5" t="str">
        <f t="shared" si="8"/>
        <v/>
      </c>
      <c r="B279" s="5" t="str">
        <f t="shared" si="9"/>
        <v xml:space="preserve"> </v>
      </c>
    </row>
    <row r="280" spans="1:2" x14ac:dyDescent="0.45">
      <c r="A280" s="5" t="str">
        <f t="shared" si="8"/>
        <v/>
      </c>
      <c r="B280" s="5" t="str">
        <f t="shared" si="9"/>
        <v xml:space="preserve"> </v>
      </c>
    </row>
    <row r="281" spans="1:2" x14ac:dyDescent="0.45">
      <c r="A281" s="5" t="str">
        <f t="shared" si="8"/>
        <v/>
      </c>
      <c r="B281" s="5" t="str">
        <f t="shared" si="9"/>
        <v xml:space="preserve"> </v>
      </c>
    </row>
    <row r="282" spans="1:2" x14ac:dyDescent="0.45">
      <c r="A282" s="5" t="str">
        <f t="shared" si="8"/>
        <v/>
      </c>
      <c r="B282" s="5" t="str">
        <f t="shared" si="9"/>
        <v xml:space="preserve"> </v>
      </c>
    </row>
    <row r="283" spans="1:2" x14ac:dyDescent="0.45">
      <c r="A283" s="5" t="str">
        <f t="shared" si="8"/>
        <v/>
      </c>
      <c r="B283" s="5" t="str">
        <f t="shared" si="9"/>
        <v xml:space="preserve"> </v>
      </c>
    </row>
    <row r="284" spans="1:2" x14ac:dyDescent="0.45">
      <c r="A284" s="5" t="str">
        <f t="shared" si="8"/>
        <v/>
      </c>
      <c r="B284" s="5" t="str">
        <f t="shared" si="9"/>
        <v xml:space="preserve"> </v>
      </c>
    </row>
    <row r="285" spans="1:2" x14ac:dyDescent="0.45">
      <c r="A285" s="5" t="str">
        <f t="shared" si="8"/>
        <v/>
      </c>
      <c r="B285" s="5" t="str">
        <f t="shared" si="9"/>
        <v xml:space="preserve"> </v>
      </c>
    </row>
    <row r="286" spans="1:2" x14ac:dyDescent="0.45">
      <c r="A286" s="5" t="str">
        <f t="shared" si="8"/>
        <v/>
      </c>
      <c r="B286" s="5" t="str">
        <f t="shared" si="9"/>
        <v xml:space="preserve"> </v>
      </c>
    </row>
    <row r="287" spans="1:2" x14ac:dyDescent="0.45">
      <c r="A287" s="5" t="str">
        <f t="shared" si="8"/>
        <v/>
      </c>
      <c r="B287" s="5" t="str">
        <f t="shared" si="9"/>
        <v xml:space="preserve"> </v>
      </c>
    </row>
    <row r="288" spans="1:2" x14ac:dyDescent="0.45">
      <c r="A288" s="5" t="str">
        <f t="shared" si="8"/>
        <v/>
      </c>
      <c r="B288" s="5" t="str">
        <f t="shared" si="9"/>
        <v xml:space="preserve"> </v>
      </c>
    </row>
    <row r="289" spans="1:2" x14ac:dyDescent="0.45">
      <c r="A289" s="5" t="str">
        <f t="shared" si="8"/>
        <v/>
      </c>
      <c r="B289" s="5" t="str">
        <f t="shared" si="9"/>
        <v xml:space="preserve"> </v>
      </c>
    </row>
    <row r="290" spans="1:2" x14ac:dyDescent="0.45">
      <c r="A290" s="5" t="str">
        <f t="shared" si="8"/>
        <v/>
      </c>
      <c r="B290" s="5" t="str">
        <f t="shared" si="9"/>
        <v xml:space="preserve"> </v>
      </c>
    </row>
    <row r="291" spans="1:2" x14ac:dyDescent="0.45">
      <c r="A291" s="5" t="str">
        <f t="shared" si="8"/>
        <v/>
      </c>
      <c r="B291" s="5" t="str">
        <f t="shared" si="9"/>
        <v xml:space="preserve"> </v>
      </c>
    </row>
    <row r="292" spans="1:2" x14ac:dyDescent="0.45">
      <c r="A292" s="5" t="str">
        <f t="shared" si="8"/>
        <v/>
      </c>
      <c r="B292" s="5" t="str">
        <f t="shared" si="9"/>
        <v xml:space="preserve"> </v>
      </c>
    </row>
    <row r="293" spans="1:2" x14ac:dyDescent="0.45">
      <c r="A293" s="5" t="str">
        <f t="shared" si="8"/>
        <v/>
      </c>
      <c r="B293" s="5" t="str">
        <f t="shared" si="9"/>
        <v xml:space="preserve"> </v>
      </c>
    </row>
    <row r="294" spans="1:2" x14ac:dyDescent="0.45">
      <c r="A294" s="5" t="str">
        <f t="shared" si="8"/>
        <v/>
      </c>
      <c r="B294" s="5" t="str">
        <f t="shared" si="9"/>
        <v xml:space="preserve"> </v>
      </c>
    </row>
    <row r="295" spans="1:2" x14ac:dyDescent="0.45">
      <c r="A295" s="5" t="str">
        <f t="shared" si="8"/>
        <v/>
      </c>
      <c r="B295" s="5" t="str">
        <f t="shared" si="9"/>
        <v xml:space="preserve"> </v>
      </c>
    </row>
    <row r="296" spans="1:2" x14ac:dyDescent="0.45">
      <c r="A296" s="5" t="str">
        <f t="shared" si="8"/>
        <v/>
      </c>
      <c r="B296" s="5" t="str">
        <f t="shared" si="9"/>
        <v xml:space="preserve"> </v>
      </c>
    </row>
    <row r="297" spans="1:2" x14ac:dyDescent="0.45">
      <c r="A297" s="5" t="str">
        <f t="shared" si="8"/>
        <v/>
      </c>
      <c r="B297" s="5" t="str">
        <f t="shared" si="9"/>
        <v xml:space="preserve"> </v>
      </c>
    </row>
    <row r="298" spans="1:2" x14ac:dyDescent="0.45">
      <c r="A298" s="5" t="str">
        <f t="shared" si="8"/>
        <v/>
      </c>
      <c r="B298" s="5" t="str">
        <f t="shared" si="9"/>
        <v xml:space="preserve"> </v>
      </c>
    </row>
    <row r="299" spans="1:2" x14ac:dyDescent="0.45">
      <c r="A299" s="5" t="str">
        <f t="shared" si="8"/>
        <v/>
      </c>
      <c r="B299" s="5" t="str">
        <f t="shared" si="9"/>
        <v xml:space="preserve"> </v>
      </c>
    </row>
    <row r="300" spans="1:2" x14ac:dyDescent="0.45">
      <c r="A300" s="5" t="str">
        <f t="shared" si="8"/>
        <v/>
      </c>
      <c r="B300" s="5" t="str">
        <f t="shared" si="9"/>
        <v xml:space="preserve"> </v>
      </c>
    </row>
    <row r="301" spans="1:2" x14ac:dyDescent="0.45">
      <c r="A301" s="5" t="str">
        <f t="shared" si="8"/>
        <v/>
      </c>
      <c r="B301" s="5" t="str">
        <f t="shared" si="9"/>
        <v xml:space="preserve"> </v>
      </c>
    </row>
    <row r="302" spans="1:2" x14ac:dyDescent="0.45">
      <c r="A302" s="5" t="str">
        <f t="shared" si="8"/>
        <v/>
      </c>
      <c r="B302" s="5" t="str">
        <f t="shared" si="9"/>
        <v xml:space="preserve"> </v>
      </c>
    </row>
    <row r="303" spans="1:2" x14ac:dyDescent="0.45">
      <c r="A303" s="5" t="str">
        <f t="shared" si="8"/>
        <v/>
      </c>
      <c r="B303" s="5" t="str">
        <f t="shared" si="9"/>
        <v xml:space="preserve"> </v>
      </c>
    </row>
    <row r="304" spans="1:2" x14ac:dyDescent="0.45">
      <c r="A304" s="5" t="str">
        <f t="shared" si="8"/>
        <v/>
      </c>
      <c r="B304" s="5" t="str">
        <f t="shared" si="9"/>
        <v xml:space="preserve"> </v>
      </c>
    </row>
    <row r="305" spans="1:2" x14ac:dyDescent="0.45">
      <c r="A305" s="5" t="str">
        <f t="shared" si="8"/>
        <v/>
      </c>
      <c r="B305" s="5" t="str">
        <f t="shared" si="9"/>
        <v xml:space="preserve"> </v>
      </c>
    </row>
    <row r="306" spans="1:2" x14ac:dyDescent="0.45">
      <c r="A306" s="5" t="str">
        <f t="shared" si="8"/>
        <v/>
      </c>
      <c r="B306" s="5" t="str">
        <f t="shared" si="9"/>
        <v xml:space="preserve"> </v>
      </c>
    </row>
    <row r="307" spans="1:2" x14ac:dyDescent="0.45">
      <c r="A307" s="5" t="str">
        <f t="shared" si="8"/>
        <v/>
      </c>
      <c r="B307" s="5" t="str">
        <f t="shared" si="9"/>
        <v xml:space="preserve"> </v>
      </c>
    </row>
    <row r="308" spans="1:2" x14ac:dyDescent="0.45">
      <c r="A308" s="5" t="str">
        <f t="shared" si="8"/>
        <v/>
      </c>
      <c r="B308" s="5" t="str">
        <f t="shared" si="9"/>
        <v xml:space="preserve"> </v>
      </c>
    </row>
    <row r="309" spans="1:2" x14ac:dyDescent="0.45">
      <c r="A309" s="5" t="str">
        <f t="shared" si="8"/>
        <v/>
      </c>
      <c r="B309" s="5" t="str">
        <f t="shared" si="9"/>
        <v xml:space="preserve"> </v>
      </c>
    </row>
    <row r="310" spans="1:2" x14ac:dyDescent="0.45">
      <c r="A310" s="5" t="str">
        <f t="shared" si="8"/>
        <v/>
      </c>
      <c r="B310" s="5" t="str">
        <f t="shared" si="9"/>
        <v xml:space="preserve"> </v>
      </c>
    </row>
    <row r="311" spans="1:2" x14ac:dyDescent="0.45">
      <c r="A311" s="5" t="str">
        <f t="shared" si="8"/>
        <v/>
      </c>
      <c r="B311" s="5" t="str">
        <f t="shared" si="9"/>
        <v xml:space="preserve"> </v>
      </c>
    </row>
    <row r="312" spans="1:2" x14ac:dyDescent="0.45">
      <c r="A312" s="5" t="str">
        <f t="shared" si="8"/>
        <v/>
      </c>
      <c r="B312" s="5" t="str">
        <f t="shared" si="9"/>
        <v xml:space="preserve"> </v>
      </c>
    </row>
    <row r="313" spans="1:2" x14ac:dyDescent="0.45">
      <c r="A313" s="5" t="str">
        <f t="shared" si="8"/>
        <v/>
      </c>
      <c r="B313" s="5" t="str">
        <f t="shared" si="9"/>
        <v xml:space="preserve"> </v>
      </c>
    </row>
    <row r="314" spans="1:2" x14ac:dyDescent="0.45">
      <c r="A314" s="5" t="str">
        <f t="shared" si="8"/>
        <v/>
      </c>
      <c r="B314" s="5" t="str">
        <f t="shared" si="9"/>
        <v xml:space="preserve"> </v>
      </c>
    </row>
    <row r="315" spans="1:2" x14ac:dyDescent="0.45">
      <c r="A315" s="5" t="str">
        <f t="shared" si="8"/>
        <v/>
      </c>
      <c r="B315" s="5" t="str">
        <f t="shared" si="9"/>
        <v xml:space="preserve"> </v>
      </c>
    </row>
    <row r="316" spans="1:2" x14ac:dyDescent="0.45">
      <c r="A316" s="5" t="str">
        <f t="shared" si="8"/>
        <v/>
      </c>
      <c r="B316" s="5" t="str">
        <f t="shared" si="9"/>
        <v xml:space="preserve"> </v>
      </c>
    </row>
    <row r="317" spans="1:2" x14ac:dyDescent="0.45">
      <c r="A317" s="5" t="str">
        <f t="shared" si="8"/>
        <v/>
      </c>
      <c r="B317" s="5" t="str">
        <f t="shared" si="9"/>
        <v xml:space="preserve"> </v>
      </c>
    </row>
    <row r="318" spans="1:2" x14ac:dyDescent="0.45">
      <c r="A318" s="5" t="str">
        <f t="shared" si="8"/>
        <v/>
      </c>
      <c r="B318" s="5" t="str">
        <f t="shared" si="9"/>
        <v xml:space="preserve"> </v>
      </c>
    </row>
    <row r="319" spans="1:2" x14ac:dyDescent="0.45">
      <c r="A319" s="5" t="str">
        <f t="shared" si="8"/>
        <v/>
      </c>
      <c r="B319" s="5" t="str">
        <f t="shared" si="9"/>
        <v xml:space="preserve"> </v>
      </c>
    </row>
    <row r="320" spans="1:2" x14ac:dyDescent="0.45">
      <c r="A320" s="5" t="str">
        <f t="shared" si="8"/>
        <v/>
      </c>
      <c r="B320" s="5" t="str">
        <f t="shared" si="9"/>
        <v xml:space="preserve"> </v>
      </c>
    </row>
    <row r="321" spans="1:2" x14ac:dyDescent="0.45">
      <c r="A321" s="5" t="str">
        <f t="shared" si="8"/>
        <v/>
      </c>
      <c r="B321" s="5" t="str">
        <f t="shared" si="9"/>
        <v xml:space="preserve"> </v>
      </c>
    </row>
    <row r="322" spans="1:2" x14ac:dyDescent="0.45">
      <c r="A322" s="5" t="str">
        <f t="shared" ref="A322:A326" si="10">C322&amp;D322</f>
        <v/>
      </c>
      <c r="B322" s="5" t="str">
        <f t="shared" ref="B322:B326" si="11">C322&amp;" "&amp;D322</f>
        <v xml:space="preserve"> </v>
      </c>
    </row>
    <row r="323" spans="1:2" x14ac:dyDescent="0.45">
      <c r="A323" s="5" t="str">
        <f t="shared" si="10"/>
        <v/>
      </c>
      <c r="B323" s="5" t="str">
        <f t="shared" si="11"/>
        <v xml:space="preserve"> </v>
      </c>
    </row>
    <row r="324" spans="1:2" x14ac:dyDescent="0.45">
      <c r="A324" s="5" t="str">
        <f t="shared" si="10"/>
        <v/>
      </c>
      <c r="B324" s="5" t="str">
        <f t="shared" si="11"/>
        <v xml:space="preserve"> </v>
      </c>
    </row>
    <row r="325" spans="1:2" x14ac:dyDescent="0.45">
      <c r="A325" s="5" t="str">
        <f t="shared" si="10"/>
        <v/>
      </c>
      <c r="B325" s="5" t="str">
        <f t="shared" si="11"/>
        <v xml:space="preserve"> </v>
      </c>
    </row>
    <row r="326" spans="1:2" x14ac:dyDescent="0.45">
      <c r="A326" s="5" t="str">
        <f t="shared" si="10"/>
        <v/>
      </c>
      <c r="B326" s="5" t="str">
        <f t="shared" si="11"/>
        <v xml:space="preserve">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F4DA-A43E-46F0-8962-170C55B214D7}">
  <dimension ref="A1"/>
  <sheetViews>
    <sheetView workbookViewId="0"/>
  </sheetViews>
  <sheetFormatPr defaultRowHeight="14.25" x14ac:dyDescent="0.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5256-63D3-4ED0-B17A-62FF9479335C}">
  <dimension ref="A1:K3"/>
  <sheetViews>
    <sheetView workbookViewId="0">
      <selection activeCell="B3" sqref="B3"/>
    </sheetView>
  </sheetViews>
  <sheetFormatPr defaultColWidth="8.796875" defaultRowHeight="14.25" x14ac:dyDescent="0.45"/>
  <cols>
    <col min="1" max="1" width="19.46484375" bestFit="1" customWidth="1"/>
    <col min="2" max="7" width="18.46484375" customWidth="1"/>
  </cols>
  <sheetData>
    <row r="1" spans="1:11" x14ac:dyDescent="0.45">
      <c r="A1" s="11" t="s">
        <v>55</v>
      </c>
      <c r="B1" s="11" t="s">
        <v>86</v>
      </c>
      <c r="C1" s="11" t="s">
        <v>87</v>
      </c>
      <c r="D1" s="11" t="s">
        <v>88</v>
      </c>
      <c r="E1" s="11" t="s">
        <v>89</v>
      </c>
      <c r="F1" s="11" t="s">
        <v>90</v>
      </c>
      <c r="G1" s="11" t="s">
        <v>91</v>
      </c>
      <c r="K1" t="s">
        <v>267</v>
      </c>
    </row>
    <row r="2" spans="1:11" x14ac:dyDescent="0.45">
      <c r="A2" t="s">
        <v>437</v>
      </c>
      <c r="B2" t="s">
        <v>439</v>
      </c>
      <c r="C2" t="s">
        <v>439</v>
      </c>
      <c r="D2" t="s">
        <v>442</v>
      </c>
      <c r="E2" t="s">
        <v>442</v>
      </c>
      <c r="F2" t="s">
        <v>443</v>
      </c>
      <c r="G2" t="s">
        <v>443</v>
      </c>
    </row>
    <row r="3" spans="1:11" x14ac:dyDescent="0.45">
      <c r="A3" t="s">
        <v>438</v>
      </c>
      <c r="B3" t="s">
        <v>440</v>
      </c>
      <c r="C3" t="s">
        <v>440</v>
      </c>
      <c r="D3" t="s">
        <v>441</v>
      </c>
      <c r="E3" t="s">
        <v>441</v>
      </c>
      <c r="F3" t="s">
        <v>444</v>
      </c>
      <c r="G3" t="s">
        <v>444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F6C2-A56C-4BD6-96FE-26F4CF755CE3}">
  <dimension ref="A1:K24"/>
  <sheetViews>
    <sheetView topLeftCell="D3" workbookViewId="0">
      <selection activeCell="E16" sqref="E16"/>
    </sheetView>
  </sheetViews>
  <sheetFormatPr defaultColWidth="8.796875" defaultRowHeight="14.25" x14ac:dyDescent="0.45"/>
  <cols>
    <col min="1" max="1" width="19.46484375" bestFit="1" customWidth="1"/>
    <col min="2" max="7" width="18.46484375" customWidth="1"/>
  </cols>
  <sheetData>
    <row r="1" spans="1:11" x14ac:dyDescent="0.45">
      <c r="A1" s="11" t="s">
        <v>244</v>
      </c>
      <c r="B1" s="11" t="s">
        <v>86</v>
      </c>
      <c r="C1" s="11" t="s">
        <v>87</v>
      </c>
      <c r="D1" s="11" t="s">
        <v>88</v>
      </c>
      <c r="E1" s="11" t="s">
        <v>89</v>
      </c>
      <c r="F1" s="11" t="s">
        <v>90</v>
      </c>
      <c r="G1" s="11" t="s">
        <v>91</v>
      </c>
      <c r="K1" t="s">
        <v>267</v>
      </c>
    </row>
    <row r="2" spans="1:11" x14ac:dyDescent="0.45">
      <c r="A2" t="s">
        <v>263</v>
      </c>
      <c r="B2" t="s">
        <v>245</v>
      </c>
      <c r="C2" t="s">
        <v>247</v>
      </c>
      <c r="D2" t="s">
        <v>249</v>
      </c>
      <c r="E2" t="s">
        <v>250</v>
      </c>
      <c r="F2" t="s">
        <v>252</v>
      </c>
      <c r="G2" t="s">
        <v>378</v>
      </c>
    </row>
    <row r="3" spans="1:11" x14ac:dyDescent="0.45">
      <c r="A3" t="s">
        <v>264</v>
      </c>
      <c r="B3" t="s">
        <v>246</v>
      </c>
      <c r="C3" t="s">
        <v>248</v>
      </c>
      <c r="D3" t="s">
        <v>250</v>
      </c>
      <c r="E3" t="s">
        <v>251</v>
      </c>
      <c r="F3" t="s">
        <v>253</v>
      </c>
      <c r="G3" t="s">
        <v>254</v>
      </c>
    </row>
    <row r="4" spans="1:11" x14ac:dyDescent="0.45">
      <c r="A4" t="s">
        <v>265</v>
      </c>
      <c r="B4" t="s">
        <v>255</v>
      </c>
      <c r="C4" t="s">
        <v>257</v>
      </c>
      <c r="D4" t="s">
        <v>258</v>
      </c>
      <c r="E4" t="s">
        <v>259</v>
      </c>
      <c r="F4" t="s">
        <v>260</v>
      </c>
      <c r="G4" t="s">
        <v>260</v>
      </c>
    </row>
    <row r="5" spans="1:11" x14ac:dyDescent="0.45">
      <c r="A5" t="s">
        <v>266</v>
      </c>
      <c r="B5" t="s">
        <v>256</v>
      </c>
      <c r="C5" t="s">
        <v>256</v>
      </c>
      <c r="D5" t="s">
        <v>259</v>
      </c>
      <c r="E5" t="s">
        <v>250</v>
      </c>
      <c r="F5" t="s">
        <v>261</v>
      </c>
      <c r="G5" t="s">
        <v>262</v>
      </c>
    </row>
    <row r="7" spans="1:11" x14ac:dyDescent="0.45">
      <c r="A7" t="s">
        <v>379</v>
      </c>
      <c r="B7" t="s">
        <v>380</v>
      </c>
      <c r="C7" t="s">
        <v>247</v>
      </c>
      <c r="D7" t="s">
        <v>249</v>
      </c>
      <c r="E7" t="s">
        <v>250</v>
      </c>
      <c r="F7" t="s">
        <v>381</v>
      </c>
      <c r="G7" t="s">
        <v>254</v>
      </c>
    </row>
    <row r="8" spans="1:11" x14ac:dyDescent="0.45">
      <c r="A8" t="s">
        <v>490</v>
      </c>
      <c r="B8" t="s">
        <v>246</v>
      </c>
      <c r="C8" t="s">
        <v>247</v>
      </c>
      <c r="D8" t="s">
        <v>249</v>
      </c>
      <c r="E8" t="s">
        <v>251</v>
      </c>
      <c r="F8" t="s">
        <v>253</v>
      </c>
      <c r="G8" t="s">
        <v>254</v>
      </c>
    </row>
    <row r="9" spans="1:11" x14ac:dyDescent="0.45">
      <c r="A9" t="s">
        <v>491</v>
      </c>
      <c r="B9" t="s">
        <v>246</v>
      </c>
      <c r="C9" t="s">
        <v>247</v>
      </c>
      <c r="D9" t="s">
        <v>492</v>
      </c>
      <c r="E9" t="s">
        <v>492</v>
      </c>
      <c r="F9" t="s">
        <v>493</v>
      </c>
      <c r="G9" t="s">
        <v>378</v>
      </c>
    </row>
    <row r="10" spans="1:11" x14ac:dyDescent="0.45">
      <c r="A10" t="s">
        <v>815</v>
      </c>
      <c r="B10" t="s">
        <v>816</v>
      </c>
      <c r="C10" t="s">
        <v>247</v>
      </c>
      <c r="D10" t="s">
        <v>249</v>
      </c>
      <c r="E10" t="s">
        <v>250</v>
      </c>
      <c r="F10" t="s">
        <v>817</v>
      </c>
      <c r="G10" t="s">
        <v>254</v>
      </c>
    </row>
    <row r="14" spans="1:11" x14ac:dyDescent="0.45">
      <c r="A14" t="s">
        <v>549</v>
      </c>
      <c r="B14" t="s">
        <v>556</v>
      </c>
      <c r="C14" t="s">
        <v>562</v>
      </c>
      <c r="D14" t="s">
        <v>572</v>
      </c>
      <c r="E14" t="s">
        <v>574</v>
      </c>
      <c r="F14" t="s">
        <v>584</v>
      </c>
      <c r="G14" t="s">
        <v>586</v>
      </c>
    </row>
    <row r="15" spans="1:11" x14ac:dyDescent="0.45">
      <c r="A15" t="s">
        <v>550</v>
      </c>
      <c r="B15" t="s">
        <v>557</v>
      </c>
      <c r="C15" t="s">
        <v>563</v>
      </c>
      <c r="D15" t="s">
        <v>573</v>
      </c>
      <c r="E15" t="s">
        <v>575</v>
      </c>
      <c r="F15" t="s">
        <v>585</v>
      </c>
      <c r="G15" t="s">
        <v>587</v>
      </c>
    </row>
    <row r="16" spans="1:11" x14ac:dyDescent="0.45">
      <c r="A16" t="s">
        <v>362</v>
      </c>
      <c r="B16" t="s">
        <v>558</v>
      </c>
      <c r="C16" t="s">
        <v>564</v>
      </c>
      <c r="D16" t="s">
        <v>570</v>
      </c>
      <c r="E16" t="s">
        <v>576</v>
      </c>
      <c r="F16" t="s">
        <v>582</v>
      </c>
      <c r="G16" t="s">
        <v>589</v>
      </c>
    </row>
    <row r="17" spans="1:7" x14ac:dyDescent="0.45">
      <c r="A17" t="s">
        <v>551</v>
      </c>
      <c r="B17" t="s">
        <v>559</v>
      </c>
      <c r="C17" t="s">
        <v>565</v>
      </c>
      <c r="D17" t="s">
        <v>571</v>
      </c>
      <c r="E17" t="s">
        <v>577</v>
      </c>
      <c r="F17" t="s">
        <v>583</v>
      </c>
      <c r="G17" t="s">
        <v>588</v>
      </c>
    </row>
    <row r="18" spans="1:7" x14ac:dyDescent="0.45">
      <c r="A18" t="s">
        <v>552</v>
      </c>
      <c r="B18" t="s">
        <v>561</v>
      </c>
      <c r="C18" t="s">
        <v>566</v>
      </c>
      <c r="D18" t="s">
        <v>568</v>
      </c>
      <c r="E18" t="s">
        <v>578</v>
      </c>
      <c r="F18" t="s">
        <v>580</v>
      </c>
      <c r="G18" t="s">
        <v>590</v>
      </c>
    </row>
    <row r="19" spans="1:7" x14ac:dyDescent="0.45">
      <c r="A19" t="s">
        <v>553</v>
      </c>
      <c r="B19" t="s">
        <v>560</v>
      </c>
      <c r="C19" t="s">
        <v>567</v>
      </c>
      <c r="D19" t="s">
        <v>569</v>
      </c>
      <c r="E19" t="s">
        <v>579</v>
      </c>
      <c r="F19" t="s">
        <v>581</v>
      </c>
      <c r="G19" t="s">
        <v>591</v>
      </c>
    </row>
    <row r="24" spans="1:7" x14ac:dyDescent="0.45">
      <c r="A24" s="18" t="s">
        <v>631</v>
      </c>
    </row>
  </sheetData>
  <hyperlinks>
    <hyperlink ref="A24" r:id="rId1" display="https://www.niche.com/k12/search/best-public-high-schools/m/colorado-springs-area/?academicsGrade=d&amp;academicsGrade=c" xr:uid="{8C7159E4-01C1-4820-900F-7820F2E34EB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F555-8BFB-416D-B9C8-60102AF5176E}">
  <dimension ref="A1:G25"/>
  <sheetViews>
    <sheetView workbookViewId="0">
      <selection activeCell="F5" sqref="F5"/>
    </sheetView>
  </sheetViews>
  <sheetFormatPr defaultColWidth="8.796875" defaultRowHeight="14.25" x14ac:dyDescent="0.45"/>
  <cols>
    <col min="2" max="2" width="18.796875" bestFit="1" customWidth="1"/>
    <col min="3" max="3" width="14.46484375" bestFit="1" customWidth="1"/>
    <col min="4" max="4" width="15.796875" bestFit="1" customWidth="1"/>
    <col min="5" max="5" width="13.19921875" bestFit="1" customWidth="1"/>
    <col min="6" max="6" width="15.796875" bestFit="1" customWidth="1"/>
    <col min="7" max="7" width="14" bestFit="1" customWidth="1"/>
  </cols>
  <sheetData>
    <row r="1" spans="1:7" x14ac:dyDescent="0.45">
      <c r="A1" t="s">
        <v>12</v>
      </c>
      <c r="B1" t="s">
        <v>2</v>
      </c>
      <c r="C1" t="s">
        <v>632</v>
      </c>
      <c r="D1" t="s">
        <v>1</v>
      </c>
      <c r="E1" t="s">
        <v>4</v>
      </c>
      <c r="F1" t="s">
        <v>633</v>
      </c>
      <c r="G1" t="s">
        <v>592</v>
      </c>
    </row>
    <row r="2" spans="1:7" x14ac:dyDescent="0.45">
      <c r="A2" t="str">
        <f>B2&amp;C2</f>
        <v>Seattle, WAFemale Name 1</v>
      </c>
      <c r="B2" t="s">
        <v>86</v>
      </c>
      <c r="C2" t="s">
        <v>614</v>
      </c>
      <c r="D2" t="s">
        <v>622</v>
      </c>
      <c r="E2" t="s">
        <v>634</v>
      </c>
      <c r="F2" t="s">
        <v>635</v>
      </c>
      <c r="G2" t="s">
        <v>593</v>
      </c>
    </row>
    <row r="3" spans="1:7" x14ac:dyDescent="0.45">
      <c r="A3" t="str">
        <f t="shared" ref="A3:A25" si="0">B3&amp;C3</f>
        <v>Seattle, WAFemale Name 2</v>
      </c>
      <c r="B3" t="s">
        <v>86</v>
      </c>
      <c r="C3" t="s">
        <v>615</v>
      </c>
      <c r="D3" t="s">
        <v>620</v>
      </c>
      <c r="E3" t="s">
        <v>636</v>
      </c>
      <c r="F3" t="s">
        <v>637</v>
      </c>
      <c r="G3" t="s">
        <v>594</v>
      </c>
    </row>
    <row r="4" spans="1:7" x14ac:dyDescent="0.45">
      <c r="A4" t="str">
        <f t="shared" si="0"/>
        <v>Seattle, WAMale Name 1</v>
      </c>
      <c r="B4" t="s">
        <v>86</v>
      </c>
      <c r="C4" t="s">
        <v>617</v>
      </c>
      <c r="D4" t="s">
        <v>628</v>
      </c>
      <c r="E4" t="s">
        <v>638</v>
      </c>
      <c r="F4" t="s">
        <v>639</v>
      </c>
      <c r="G4" t="s">
        <v>593</v>
      </c>
    </row>
    <row r="5" spans="1:7" x14ac:dyDescent="0.45">
      <c r="A5" t="str">
        <f t="shared" si="0"/>
        <v>Seattle, WAMale Name 2</v>
      </c>
      <c r="B5" t="s">
        <v>86</v>
      </c>
      <c r="C5" t="s">
        <v>616</v>
      </c>
      <c r="D5" t="s">
        <v>624</v>
      </c>
      <c r="E5" t="s">
        <v>640</v>
      </c>
      <c r="F5" t="s">
        <v>641</v>
      </c>
      <c r="G5" t="s">
        <v>594</v>
      </c>
    </row>
    <row r="6" spans="1:7" x14ac:dyDescent="0.45">
      <c r="A6" t="str">
        <f t="shared" si="0"/>
        <v>Spokane, WAFemale Name 1</v>
      </c>
      <c r="B6" t="s">
        <v>87</v>
      </c>
      <c r="C6" t="s">
        <v>614</v>
      </c>
      <c r="D6" t="s">
        <v>622</v>
      </c>
      <c r="E6" t="s">
        <v>634</v>
      </c>
      <c r="F6" t="s">
        <v>635</v>
      </c>
      <c r="G6" t="s">
        <v>595</v>
      </c>
    </row>
    <row r="7" spans="1:7" x14ac:dyDescent="0.45">
      <c r="A7" t="str">
        <f t="shared" si="0"/>
        <v>Spokane, WAFemale Name 2</v>
      </c>
      <c r="B7" t="s">
        <v>87</v>
      </c>
      <c r="C7" t="s">
        <v>615</v>
      </c>
      <c r="D7" t="s">
        <v>620</v>
      </c>
      <c r="E7" t="s">
        <v>636</v>
      </c>
      <c r="F7" t="s">
        <v>637</v>
      </c>
      <c r="G7" t="s">
        <v>596</v>
      </c>
    </row>
    <row r="8" spans="1:7" x14ac:dyDescent="0.45">
      <c r="A8" t="str">
        <f t="shared" si="0"/>
        <v>Spokane, WAMale Name 1</v>
      </c>
      <c r="B8" t="s">
        <v>87</v>
      </c>
      <c r="C8" t="s">
        <v>617</v>
      </c>
      <c r="D8" t="s">
        <v>628</v>
      </c>
      <c r="E8" t="s">
        <v>638</v>
      </c>
      <c r="F8" t="s">
        <v>639</v>
      </c>
      <c r="G8" t="s">
        <v>595</v>
      </c>
    </row>
    <row r="9" spans="1:7" x14ac:dyDescent="0.45">
      <c r="A9" t="str">
        <f t="shared" si="0"/>
        <v>Spokane, WAMale Name 2</v>
      </c>
      <c r="B9" t="s">
        <v>87</v>
      </c>
      <c r="C9" t="s">
        <v>616</v>
      </c>
      <c r="D9" t="s">
        <v>624</v>
      </c>
      <c r="E9" t="s">
        <v>640</v>
      </c>
      <c r="F9" t="s">
        <v>641</v>
      </c>
      <c r="G9" t="s">
        <v>596</v>
      </c>
    </row>
    <row r="10" spans="1:7" x14ac:dyDescent="0.45">
      <c r="A10" t="str">
        <f t="shared" si="0"/>
        <v>Salt Lake City, UTFemale Name 1</v>
      </c>
      <c r="B10" t="s">
        <v>88</v>
      </c>
      <c r="C10" t="s">
        <v>614</v>
      </c>
      <c r="D10" t="s">
        <v>621</v>
      </c>
      <c r="E10" t="s">
        <v>642</v>
      </c>
      <c r="F10" t="s">
        <v>643</v>
      </c>
      <c r="G10" t="s">
        <v>597</v>
      </c>
    </row>
    <row r="11" spans="1:7" x14ac:dyDescent="0.45">
      <c r="A11" t="str">
        <f t="shared" si="0"/>
        <v>Salt Lake City, UTFemale Name 2</v>
      </c>
      <c r="B11" t="s">
        <v>88</v>
      </c>
      <c r="C11" t="s">
        <v>615</v>
      </c>
      <c r="D11" t="s">
        <v>629</v>
      </c>
      <c r="E11" t="s">
        <v>644</v>
      </c>
      <c r="F11" t="s">
        <v>645</v>
      </c>
      <c r="G11" t="s">
        <v>598</v>
      </c>
    </row>
    <row r="12" spans="1:7" x14ac:dyDescent="0.45">
      <c r="A12" t="str">
        <f t="shared" si="0"/>
        <v>Salt Lake City, UTMale Name 1</v>
      </c>
      <c r="B12" t="s">
        <v>88</v>
      </c>
      <c r="C12" t="s">
        <v>617</v>
      </c>
      <c r="D12" t="s">
        <v>625</v>
      </c>
      <c r="E12" t="s">
        <v>646</v>
      </c>
      <c r="F12" t="s">
        <v>647</v>
      </c>
      <c r="G12" t="s">
        <v>597</v>
      </c>
    </row>
    <row r="13" spans="1:7" x14ac:dyDescent="0.45">
      <c r="A13" t="str">
        <f t="shared" si="0"/>
        <v>Salt Lake City, UTMale Name 2</v>
      </c>
      <c r="B13" t="s">
        <v>88</v>
      </c>
      <c r="C13" t="s">
        <v>616</v>
      </c>
      <c r="D13" t="s">
        <v>626</v>
      </c>
      <c r="E13" t="s">
        <v>648</v>
      </c>
      <c r="F13" t="s">
        <v>649</v>
      </c>
      <c r="G13" t="s">
        <v>598</v>
      </c>
    </row>
    <row r="14" spans="1:7" x14ac:dyDescent="0.45">
      <c r="A14" t="str">
        <f t="shared" si="0"/>
        <v>Provo, UTFemale Name 1</v>
      </c>
      <c r="B14" t="s">
        <v>89</v>
      </c>
      <c r="C14" t="s">
        <v>614</v>
      </c>
      <c r="D14" t="s">
        <v>621</v>
      </c>
      <c r="E14" t="s">
        <v>642</v>
      </c>
      <c r="F14" t="s">
        <v>643</v>
      </c>
      <c r="G14" t="s">
        <v>597</v>
      </c>
    </row>
    <row r="15" spans="1:7" x14ac:dyDescent="0.45">
      <c r="A15" t="str">
        <f t="shared" si="0"/>
        <v>Provo, UTFemale Name 2</v>
      </c>
      <c r="B15" t="s">
        <v>89</v>
      </c>
      <c r="C15" t="s">
        <v>615</v>
      </c>
      <c r="D15" t="s">
        <v>629</v>
      </c>
      <c r="E15" t="s">
        <v>644</v>
      </c>
      <c r="F15" t="s">
        <v>645</v>
      </c>
      <c r="G15" t="s">
        <v>598</v>
      </c>
    </row>
    <row r="16" spans="1:7" x14ac:dyDescent="0.45">
      <c r="A16" t="str">
        <f t="shared" si="0"/>
        <v>Provo, UTMale Name 1</v>
      </c>
      <c r="B16" t="s">
        <v>89</v>
      </c>
      <c r="C16" t="s">
        <v>617</v>
      </c>
      <c r="D16" t="s">
        <v>625</v>
      </c>
      <c r="E16" t="s">
        <v>646</v>
      </c>
      <c r="F16" t="s">
        <v>647</v>
      </c>
      <c r="G16" t="s">
        <v>597</v>
      </c>
    </row>
    <row r="17" spans="1:7" x14ac:dyDescent="0.45">
      <c r="A17" t="str">
        <f t="shared" si="0"/>
        <v>Provo, UTMale Name 2</v>
      </c>
      <c r="B17" t="s">
        <v>89</v>
      </c>
      <c r="C17" t="s">
        <v>616</v>
      </c>
      <c r="D17" t="s">
        <v>626</v>
      </c>
      <c r="E17" t="s">
        <v>648</v>
      </c>
      <c r="F17" t="s">
        <v>649</v>
      </c>
      <c r="G17" t="s">
        <v>598</v>
      </c>
    </row>
    <row r="18" spans="1:7" x14ac:dyDescent="0.45">
      <c r="A18" t="str">
        <f t="shared" si="0"/>
        <v>Denver, COFemale Name 1</v>
      </c>
      <c r="B18" t="s">
        <v>90</v>
      </c>
      <c r="C18" t="s">
        <v>614</v>
      </c>
      <c r="D18" t="s">
        <v>618</v>
      </c>
      <c r="E18" t="s">
        <v>650</v>
      </c>
      <c r="F18" t="s">
        <v>651</v>
      </c>
      <c r="G18" t="s">
        <v>599</v>
      </c>
    </row>
    <row r="19" spans="1:7" x14ac:dyDescent="0.45">
      <c r="A19" t="str">
        <f t="shared" si="0"/>
        <v>Denver, COFemale Name 2</v>
      </c>
      <c r="B19" t="s">
        <v>90</v>
      </c>
      <c r="C19" t="s">
        <v>615</v>
      </c>
      <c r="D19" t="s">
        <v>619</v>
      </c>
      <c r="E19" t="s">
        <v>652</v>
      </c>
      <c r="F19" t="s">
        <v>653</v>
      </c>
      <c r="G19" t="s">
        <v>600</v>
      </c>
    </row>
    <row r="20" spans="1:7" x14ac:dyDescent="0.45">
      <c r="A20" t="str">
        <f t="shared" si="0"/>
        <v>Denver, COMale Name 1</v>
      </c>
      <c r="B20" t="s">
        <v>90</v>
      </c>
      <c r="C20" t="s">
        <v>617</v>
      </c>
      <c r="D20" t="s">
        <v>623</v>
      </c>
      <c r="E20" t="s">
        <v>654</v>
      </c>
      <c r="F20" t="s">
        <v>655</v>
      </c>
      <c r="G20" t="s">
        <v>599</v>
      </c>
    </row>
    <row r="21" spans="1:7" x14ac:dyDescent="0.45">
      <c r="A21" t="str">
        <f t="shared" si="0"/>
        <v>Denver, COMale Name 2</v>
      </c>
      <c r="B21" t="s">
        <v>90</v>
      </c>
      <c r="C21" t="s">
        <v>616</v>
      </c>
      <c r="D21" t="s">
        <v>627</v>
      </c>
      <c r="E21" t="s">
        <v>656</v>
      </c>
      <c r="F21" t="s">
        <v>657</v>
      </c>
      <c r="G21" t="s">
        <v>600</v>
      </c>
    </row>
    <row r="22" spans="1:7" x14ac:dyDescent="0.45">
      <c r="A22" t="str">
        <f t="shared" si="0"/>
        <v>Colorado Springs, COFemale Name 1</v>
      </c>
      <c r="B22" t="s">
        <v>91</v>
      </c>
      <c r="C22" t="s">
        <v>614</v>
      </c>
      <c r="D22" t="s">
        <v>618</v>
      </c>
      <c r="E22" t="s">
        <v>650</v>
      </c>
      <c r="F22" t="s">
        <v>651</v>
      </c>
      <c r="G22" t="s">
        <v>601</v>
      </c>
    </row>
    <row r="23" spans="1:7" x14ac:dyDescent="0.45">
      <c r="A23" t="str">
        <f t="shared" si="0"/>
        <v>Colorado Springs, COFemale Name 2</v>
      </c>
      <c r="B23" t="s">
        <v>91</v>
      </c>
      <c r="C23" t="s">
        <v>615</v>
      </c>
      <c r="D23" t="s">
        <v>619</v>
      </c>
      <c r="E23" t="s">
        <v>652</v>
      </c>
      <c r="F23" t="s">
        <v>653</v>
      </c>
      <c r="G23" t="s">
        <v>602</v>
      </c>
    </row>
    <row r="24" spans="1:7" x14ac:dyDescent="0.45">
      <c r="A24" t="str">
        <f t="shared" si="0"/>
        <v>Colorado Springs, COMale Name 1</v>
      </c>
      <c r="B24" t="s">
        <v>91</v>
      </c>
      <c r="C24" t="s">
        <v>617</v>
      </c>
      <c r="D24" t="s">
        <v>623</v>
      </c>
      <c r="E24" t="s">
        <v>654</v>
      </c>
      <c r="F24" t="s">
        <v>655</v>
      </c>
      <c r="G24" t="s">
        <v>601</v>
      </c>
    </row>
    <row r="25" spans="1:7" x14ac:dyDescent="0.45">
      <c r="A25" t="str">
        <f t="shared" si="0"/>
        <v>Colorado Springs, COMale Name 2</v>
      </c>
      <c r="B25" t="s">
        <v>91</v>
      </c>
      <c r="C25" t="s">
        <v>616</v>
      </c>
      <c r="D25" t="s">
        <v>627</v>
      </c>
      <c r="E25" t="s">
        <v>656</v>
      </c>
      <c r="F25" t="s">
        <v>657</v>
      </c>
      <c r="G25" t="s">
        <v>602</v>
      </c>
    </row>
  </sheetData>
  <hyperlinks>
    <hyperlink ref="E20" r:id="rId1" xr:uid="{03CC3040-5FF7-40F4-B904-BD2241AAA6C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EBCC-86AD-4D0C-9315-9AF1DD0C6908}">
  <dimension ref="A1:B25"/>
  <sheetViews>
    <sheetView workbookViewId="0">
      <selection activeCell="C8" sqref="C8"/>
    </sheetView>
  </sheetViews>
  <sheetFormatPr defaultColWidth="8.796875" defaultRowHeight="14.25" x14ac:dyDescent="0.45"/>
  <cols>
    <col min="1" max="1" width="15.796875" bestFit="1" customWidth="1"/>
    <col min="2" max="2" width="30.33203125" bestFit="1" customWidth="1"/>
  </cols>
  <sheetData>
    <row r="1" spans="1:2" x14ac:dyDescent="0.45">
      <c r="A1" t="s">
        <v>1</v>
      </c>
      <c r="B1" t="s">
        <v>4</v>
      </c>
    </row>
    <row r="2" spans="1:2" x14ac:dyDescent="0.45">
      <c r="A2" t="s">
        <v>622</v>
      </c>
      <c r="B2" t="s">
        <v>634</v>
      </c>
    </row>
    <row r="3" spans="1:2" x14ac:dyDescent="0.45">
      <c r="A3" t="s">
        <v>620</v>
      </c>
      <c r="B3" t="s">
        <v>636</v>
      </c>
    </row>
    <row r="4" spans="1:2" x14ac:dyDescent="0.45">
      <c r="A4" t="s">
        <v>628</v>
      </c>
      <c r="B4" t="s">
        <v>638</v>
      </c>
    </row>
    <row r="5" spans="1:2" x14ac:dyDescent="0.45">
      <c r="A5" t="s">
        <v>624</v>
      </c>
      <c r="B5" t="s">
        <v>640</v>
      </c>
    </row>
    <row r="6" spans="1:2" x14ac:dyDescent="0.45">
      <c r="A6" t="s">
        <v>621</v>
      </c>
      <c r="B6" t="s">
        <v>642</v>
      </c>
    </row>
    <row r="7" spans="1:2" x14ac:dyDescent="0.45">
      <c r="A7" t="s">
        <v>629</v>
      </c>
      <c r="B7" t="s">
        <v>644</v>
      </c>
    </row>
    <row r="8" spans="1:2" x14ac:dyDescent="0.45">
      <c r="A8" t="s">
        <v>625</v>
      </c>
      <c r="B8" t="s">
        <v>646</v>
      </c>
    </row>
    <row r="9" spans="1:2" x14ac:dyDescent="0.45">
      <c r="A9" t="s">
        <v>626</v>
      </c>
      <c r="B9" t="s">
        <v>648</v>
      </c>
    </row>
    <row r="10" spans="1:2" x14ac:dyDescent="0.45">
      <c r="A10" t="s">
        <v>618</v>
      </c>
      <c r="B10" t="s">
        <v>650</v>
      </c>
    </row>
    <row r="11" spans="1:2" x14ac:dyDescent="0.45">
      <c r="A11" t="s">
        <v>619</v>
      </c>
      <c r="B11" t="s">
        <v>652</v>
      </c>
    </row>
    <row r="12" spans="1:2" x14ac:dyDescent="0.45">
      <c r="A12" t="s">
        <v>623</v>
      </c>
      <c r="B12" t="s">
        <v>654</v>
      </c>
    </row>
    <row r="13" spans="1:2" x14ac:dyDescent="0.45">
      <c r="A13" t="s">
        <v>627</v>
      </c>
      <c r="B13" t="s">
        <v>656</v>
      </c>
    </row>
    <row r="17" customFormat="1" x14ac:dyDescent="0.45"/>
    <row r="18" customFormat="1" x14ac:dyDescent="0.45"/>
    <row r="19" customFormat="1" x14ac:dyDescent="0.45"/>
    <row r="20" customFormat="1" x14ac:dyDescent="0.45"/>
    <row r="21" customFormat="1" x14ac:dyDescent="0.45"/>
    <row r="22" customFormat="1" x14ac:dyDescent="0.45"/>
    <row r="23" customFormat="1" x14ac:dyDescent="0.45"/>
    <row r="24" customFormat="1" x14ac:dyDescent="0.45"/>
    <row r="25" customFormat="1" x14ac:dyDescent="0.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D1C4A-B741-4171-AE2C-AA2D32CD3895}">
  <dimension ref="A1:D13"/>
  <sheetViews>
    <sheetView workbookViewId="0">
      <selection activeCell="A44" sqref="A44"/>
    </sheetView>
  </sheetViews>
  <sheetFormatPr defaultRowHeight="14.25" x14ac:dyDescent="0.45"/>
  <cols>
    <col min="1" max="1" width="33.53125" style="13" bestFit="1" customWidth="1"/>
    <col min="2" max="2" width="18.796875" style="13" bestFit="1" customWidth="1"/>
    <col min="3" max="3" width="13.73046875" style="13" bestFit="1" customWidth="1"/>
    <col min="4" max="4" width="13.9296875" style="13" bestFit="1" customWidth="1"/>
  </cols>
  <sheetData>
    <row r="1" spans="1:4" x14ac:dyDescent="0.45">
      <c r="A1" s="13" t="s">
        <v>12</v>
      </c>
      <c r="B1" s="13" t="s">
        <v>2</v>
      </c>
      <c r="C1" s="13" t="s">
        <v>201</v>
      </c>
      <c r="D1" s="13" t="s">
        <v>592</v>
      </c>
    </row>
    <row r="2" spans="1:4" x14ac:dyDescent="0.45">
      <c r="A2" s="13" t="str">
        <f>B2&amp;"Phone Number "&amp;C2</f>
        <v>Seattle, WAPhone Number 1</v>
      </c>
      <c r="B2" s="13" t="s">
        <v>86</v>
      </c>
      <c r="C2" s="13">
        <v>1</v>
      </c>
      <c r="D2" s="13" t="s">
        <v>593</v>
      </c>
    </row>
    <row r="3" spans="1:4" x14ac:dyDescent="0.45">
      <c r="A3" s="13" t="str">
        <f t="shared" ref="A3:A13" si="0">B3&amp;"Phone Number "&amp;C3</f>
        <v>Seattle, WAPhone Number 2</v>
      </c>
      <c r="B3" s="13" t="s">
        <v>86</v>
      </c>
      <c r="C3" s="13">
        <v>2</v>
      </c>
      <c r="D3" s="13" t="s">
        <v>594</v>
      </c>
    </row>
    <row r="4" spans="1:4" x14ac:dyDescent="0.45">
      <c r="A4" s="13" t="str">
        <f t="shared" si="0"/>
        <v>Spokane, WAPhone Number 1</v>
      </c>
      <c r="B4" s="13" t="s">
        <v>87</v>
      </c>
      <c r="C4" s="13">
        <v>1</v>
      </c>
      <c r="D4" s="13" t="s">
        <v>595</v>
      </c>
    </row>
    <row r="5" spans="1:4" x14ac:dyDescent="0.45">
      <c r="A5" s="13" t="str">
        <f t="shared" si="0"/>
        <v>Spokane, WAPhone Number 2</v>
      </c>
      <c r="B5" s="13" t="s">
        <v>87</v>
      </c>
      <c r="C5" s="13">
        <v>2</v>
      </c>
      <c r="D5" s="13" t="s">
        <v>596</v>
      </c>
    </row>
    <row r="6" spans="1:4" x14ac:dyDescent="0.45">
      <c r="A6" s="13" t="str">
        <f t="shared" si="0"/>
        <v>Salt Lake City, UTPhone Number 1</v>
      </c>
      <c r="B6" s="13" t="s">
        <v>88</v>
      </c>
      <c r="C6" s="13">
        <v>1</v>
      </c>
      <c r="D6" s="13" t="s">
        <v>597</v>
      </c>
    </row>
    <row r="7" spans="1:4" x14ac:dyDescent="0.45">
      <c r="A7" s="13" t="str">
        <f t="shared" si="0"/>
        <v>Salt Lake City, UTPhone Number 2</v>
      </c>
      <c r="B7" s="13" t="s">
        <v>88</v>
      </c>
      <c r="C7" s="13">
        <v>2</v>
      </c>
      <c r="D7" s="13" t="s">
        <v>598</v>
      </c>
    </row>
    <row r="8" spans="1:4" x14ac:dyDescent="0.45">
      <c r="A8" s="13" t="str">
        <f t="shared" si="0"/>
        <v>Provo, UTPhone Number 1</v>
      </c>
      <c r="B8" s="13" t="s">
        <v>89</v>
      </c>
      <c r="C8" s="13">
        <v>1</v>
      </c>
      <c r="D8" s="13" t="s">
        <v>597</v>
      </c>
    </row>
    <row r="9" spans="1:4" x14ac:dyDescent="0.45">
      <c r="A9" s="13" t="str">
        <f t="shared" si="0"/>
        <v>Provo, UTPhone Number 2</v>
      </c>
      <c r="B9" s="13" t="s">
        <v>89</v>
      </c>
      <c r="C9" s="13">
        <v>2</v>
      </c>
      <c r="D9" s="13" t="s">
        <v>598</v>
      </c>
    </row>
    <row r="10" spans="1:4" x14ac:dyDescent="0.45">
      <c r="A10" s="13" t="str">
        <f t="shared" si="0"/>
        <v>Denver, COPhone Number 1</v>
      </c>
      <c r="B10" s="13" t="s">
        <v>90</v>
      </c>
      <c r="C10" s="13">
        <v>1</v>
      </c>
      <c r="D10" s="13" t="s">
        <v>599</v>
      </c>
    </row>
    <row r="11" spans="1:4" x14ac:dyDescent="0.45">
      <c r="A11" s="13" t="str">
        <f t="shared" si="0"/>
        <v>Denver, COPhone Number 2</v>
      </c>
      <c r="B11" s="13" t="s">
        <v>90</v>
      </c>
      <c r="C11" s="13">
        <v>2</v>
      </c>
      <c r="D11" s="13" t="s">
        <v>600</v>
      </c>
    </row>
    <row r="12" spans="1:4" x14ac:dyDescent="0.45">
      <c r="A12" s="13" t="str">
        <f t="shared" si="0"/>
        <v>Colorado Springs, COPhone Number 1</v>
      </c>
      <c r="B12" s="13" t="s">
        <v>91</v>
      </c>
      <c r="C12" s="13">
        <v>1</v>
      </c>
      <c r="D12" s="13" t="s">
        <v>601</v>
      </c>
    </row>
    <row r="13" spans="1:4" x14ac:dyDescent="0.45">
      <c r="A13" s="13" t="str">
        <f t="shared" si="0"/>
        <v>Colorado Springs, COPhone Number 2</v>
      </c>
      <c r="B13" s="13" t="s">
        <v>91</v>
      </c>
      <c r="C13" s="13">
        <v>2</v>
      </c>
      <c r="D13" s="13" t="s">
        <v>602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A055-6575-40DE-9E9A-CB8FB1EBE6E6}">
  <dimension ref="A1:D42"/>
  <sheetViews>
    <sheetView workbookViewId="0">
      <selection activeCell="K60" sqref="K60"/>
    </sheetView>
  </sheetViews>
  <sheetFormatPr defaultRowHeight="14.25" x14ac:dyDescent="0.45"/>
  <cols>
    <col min="2" max="2" width="12.9296875" bestFit="1" customWidth="1"/>
    <col min="3" max="3" width="25.19921875" bestFit="1" customWidth="1"/>
  </cols>
  <sheetData>
    <row r="1" spans="1:4" x14ac:dyDescent="0.45">
      <c r="A1" t="s">
        <v>12</v>
      </c>
      <c r="B1" t="s">
        <v>62</v>
      </c>
      <c r="C1" t="s">
        <v>904</v>
      </c>
      <c r="D1" t="s">
        <v>900</v>
      </c>
    </row>
    <row r="2" spans="1:4" x14ac:dyDescent="0.45">
      <c r="A2" t="str">
        <f>B2&amp;C2</f>
        <v>Courtesy ClerkEmployment_Description_11</v>
      </c>
      <c r="B2" t="s">
        <v>806</v>
      </c>
      <c r="C2" t="s">
        <v>23</v>
      </c>
      <c r="D2" s="22" t="s">
        <v>901</v>
      </c>
    </row>
    <row r="3" spans="1:4" x14ac:dyDescent="0.45">
      <c r="A3" t="str">
        <f t="shared" ref="A3:A42" si="0">B3&amp;C3</f>
        <v>Courtesy ClerkEmployment_Description_12</v>
      </c>
      <c r="B3" t="s">
        <v>806</v>
      </c>
      <c r="C3" t="s">
        <v>24</v>
      </c>
      <c r="D3" s="22" t="s">
        <v>902</v>
      </c>
    </row>
    <row r="4" spans="1:4" x14ac:dyDescent="0.45">
      <c r="A4" t="str">
        <f t="shared" si="0"/>
        <v>Courtesy ClerkEmployment_Description_13</v>
      </c>
      <c r="B4" t="s">
        <v>806</v>
      </c>
      <c r="C4" t="s">
        <v>25</v>
      </c>
      <c r="D4" s="22" t="s">
        <v>903</v>
      </c>
    </row>
    <row r="5" spans="1:4" x14ac:dyDescent="0.45">
      <c r="A5" t="str">
        <f t="shared" si="0"/>
        <v>Courtesy ClerkEmployment_Description_14</v>
      </c>
      <c r="B5" t="s">
        <v>806</v>
      </c>
      <c r="C5" t="s">
        <v>26</v>
      </c>
      <c r="D5" s="22" t="s">
        <v>273</v>
      </c>
    </row>
    <row r="6" spans="1:4" x14ac:dyDescent="0.45">
      <c r="A6" t="str">
        <f t="shared" si="0"/>
        <v>Courtesy ClerkEmployment_Description_15</v>
      </c>
      <c r="B6" t="s">
        <v>806</v>
      </c>
      <c r="C6" t="s">
        <v>81</v>
      </c>
      <c r="D6" s="22" t="s">
        <v>273</v>
      </c>
    </row>
    <row r="7" spans="1:4" x14ac:dyDescent="0.45">
      <c r="A7" t="str">
        <f t="shared" si="0"/>
        <v>Courtesy ClerkEmployment_Description_21</v>
      </c>
      <c r="B7" t="s">
        <v>806</v>
      </c>
      <c r="C7" t="s">
        <v>28</v>
      </c>
      <c r="D7" s="22" t="s">
        <v>901</v>
      </c>
    </row>
    <row r="8" spans="1:4" x14ac:dyDescent="0.45">
      <c r="A8" t="str">
        <f t="shared" si="0"/>
        <v>Courtesy ClerkEmployment_Description_22</v>
      </c>
      <c r="B8" t="s">
        <v>806</v>
      </c>
      <c r="C8" t="s">
        <v>29</v>
      </c>
      <c r="D8" s="22" t="s">
        <v>902</v>
      </c>
    </row>
    <row r="9" spans="1:4" x14ac:dyDescent="0.45">
      <c r="A9" t="str">
        <f t="shared" si="0"/>
        <v>Courtesy ClerkEmployment_Description_23</v>
      </c>
      <c r="B9" t="s">
        <v>806</v>
      </c>
      <c r="C9" t="s">
        <v>30</v>
      </c>
      <c r="D9" s="22" t="s">
        <v>903</v>
      </c>
    </row>
    <row r="10" spans="1:4" x14ac:dyDescent="0.45">
      <c r="A10" t="str">
        <f t="shared" si="0"/>
        <v>Courtesy ClerkEmployment_Description_24</v>
      </c>
      <c r="B10" t="s">
        <v>806</v>
      </c>
      <c r="C10" t="s">
        <v>31</v>
      </c>
      <c r="D10" s="22" t="s">
        <v>273</v>
      </c>
    </row>
    <row r="11" spans="1:4" x14ac:dyDescent="0.45">
      <c r="A11" t="str">
        <f t="shared" si="0"/>
        <v>Courtesy ClerkEmployment_Description_25</v>
      </c>
      <c r="B11" t="s">
        <v>806</v>
      </c>
      <c r="C11" t="s">
        <v>82</v>
      </c>
      <c r="D11" s="22" t="s">
        <v>273</v>
      </c>
    </row>
    <row r="12" spans="1:4" x14ac:dyDescent="0.45">
      <c r="A12" t="str">
        <f t="shared" si="0"/>
        <v>Courtesy ClerkEmployment_Description_31</v>
      </c>
      <c r="B12" t="s">
        <v>806</v>
      </c>
      <c r="C12" t="s">
        <v>33</v>
      </c>
      <c r="D12" s="22" t="s">
        <v>901</v>
      </c>
    </row>
    <row r="13" spans="1:4" x14ac:dyDescent="0.45">
      <c r="A13" t="str">
        <f t="shared" si="0"/>
        <v>Courtesy ClerkEmployment_Description_32</v>
      </c>
      <c r="B13" t="s">
        <v>806</v>
      </c>
      <c r="C13" t="s">
        <v>34</v>
      </c>
      <c r="D13" s="22" t="s">
        <v>902</v>
      </c>
    </row>
    <row r="14" spans="1:4" x14ac:dyDescent="0.45">
      <c r="A14" t="str">
        <f t="shared" si="0"/>
        <v>Courtesy ClerkEmployment_Description_33</v>
      </c>
      <c r="B14" t="s">
        <v>806</v>
      </c>
      <c r="C14" t="s">
        <v>35</v>
      </c>
      <c r="D14" s="22" t="s">
        <v>903</v>
      </c>
    </row>
    <row r="15" spans="1:4" x14ac:dyDescent="0.45">
      <c r="A15" t="str">
        <f t="shared" si="0"/>
        <v>Courtesy ClerkEmployment_Description_34</v>
      </c>
      <c r="B15" t="s">
        <v>806</v>
      </c>
      <c r="C15" t="s">
        <v>36</v>
      </c>
      <c r="D15" s="22" t="s">
        <v>273</v>
      </c>
    </row>
    <row r="16" spans="1:4" x14ac:dyDescent="0.45">
      <c r="A16" t="str">
        <f t="shared" si="0"/>
        <v>Courtesy ClerkEmployment_Description_35</v>
      </c>
      <c r="B16" t="s">
        <v>806</v>
      </c>
      <c r="C16" t="s">
        <v>83</v>
      </c>
      <c r="D16" s="22" t="s">
        <v>273</v>
      </c>
    </row>
    <row r="17" spans="1:4" x14ac:dyDescent="0.45">
      <c r="A17" t="str">
        <f t="shared" si="0"/>
        <v>Courtesy ClerkEmployment_Description_41</v>
      </c>
      <c r="B17" t="s">
        <v>806</v>
      </c>
      <c r="C17" t="s">
        <v>38</v>
      </c>
      <c r="D17" s="22" t="s">
        <v>901</v>
      </c>
    </row>
    <row r="18" spans="1:4" x14ac:dyDescent="0.45">
      <c r="A18" t="str">
        <f t="shared" si="0"/>
        <v>Courtesy ClerkEmployment_Description_42</v>
      </c>
      <c r="B18" t="s">
        <v>806</v>
      </c>
      <c r="C18" t="s">
        <v>39</v>
      </c>
      <c r="D18" s="22" t="s">
        <v>902</v>
      </c>
    </row>
    <row r="19" spans="1:4" x14ac:dyDescent="0.45">
      <c r="A19" t="str">
        <f t="shared" si="0"/>
        <v>Courtesy ClerkEmployment_Description_43</v>
      </c>
      <c r="B19" t="s">
        <v>806</v>
      </c>
      <c r="C19" t="s">
        <v>40</v>
      </c>
      <c r="D19" s="22" t="s">
        <v>903</v>
      </c>
    </row>
    <row r="20" spans="1:4" x14ac:dyDescent="0.45">
      <c r="A20" t="str">
        <f t="shared" si="0"/>
        <v>Courtesy ClerkEmployment_Description_44</v>
      </c>
      <c r="B20" t="s">
        <v>806</v>
      </c>
      <c r="C20" t="s">
        <v>41</v>
      </c>
      <c r="D20" s="22" t="s">
        <v>273</v>
      </c>
    </row>
    <row r="21" spans="1:4" x14ac:dyDescent="0.45">
      <c r="A21" t="str">
        <f t="shared" si="0"/>
        <v>Courtesy ClerkEmployment_Description_45</v>
      </c>
      <c r="B21" t="s">
        <v>806</v>
      </c>
      <c r="C21" t="s">
        <v>84</v>
      </c>
      <c r="D21" s="22" t="s">
        <v>273</v>
      </c>
    </row>
    <row r="23" spans="1:4" x14ac:dyDescent="0.45">
      <c r="A23" t="str">
        <f t="shared" si="0"/>
        <v>CaregiverEmployment_Description_11</v>
      </c>
      <c r="B23" t="s">
        <v>85</v>
      </c>
      <c r="C23" t="s">
        <v>23</v>
      </c>
      <c r="D23" s="22" t="s">
        <v>905</v>
      </c>
    </row>
    <row r="24" spans="1:4" x14ac:dyDescent="0.45">
      <c r="A24" t="str">
        <f t="shared" si="0"/>
        <v>CaregiverEmployment_Description_12</v>
      </c>
      <c r="B24" t="s">
        <v>85</v>
      </c>
      <c r="C24" t="s">
        <v>24</v>
      </c>
      <c r="D24" s="22" t="s">
        <v>906</v>
      </c>
    </row>
    <row r="25" spans="1:4" x14ac:dyDescent="0.45">
      <c r="A25" t="str">
        <f t="shared" si="0"/>
        <v>CaregiverEmployment_Description_13</v>
      </c>
      <c r="B25" t="s">
        <v>85</v>
      </c>
      <c r="C25" t="s">
        <v>25</v>
      </c>
      <c r="D25" s="22" t="s">
        <v>907</v>
      </c>
    </row>
    <row r="26" spans="1:4" x14ac:dyDescent="0.45">
      <c r="A26" t="str">
        <f t="shared" si="0"/>
        <v>CaregiverEmployment_Description_14</v>
      </c>
      <c r="B26" t="s">
        <v>85</v>
      </c>
      <c r="C26" t="s">
        <v>26</v>
      </c>
      <c r="D26" s="22" t="s">
        <v>908</v>
      </c>
    </row>
    <row r="27" spans="1:4" x14ac:dyDescent="0.45">
      <c r="A27" t="str">
        <f t="shared" si="0"/>
        <v>CaregiverEmployment_Description_15</v>
      </c>
      <c r="B27" t="s">
        <v>85</v>
      </c>
      <c r="C27" t="s">
        <v>81</v>
      </c>
      <c r="D27" s="22" t="s">
        <v>273</v>
      </c>
    </row>
    <row r="28" spans="1:4" x14ac:dyDescent="0.45">
      <c r="A28" t="str">
        <f t="shared" si="0"/>
        <v>CaregiverEmployment_Description_21</v>
      </c>
      <c r="B28" t="s">
        <v>85</v>
      </c>
      <c r="C28" t="s">
        <v>28</v>
      </c>
      <c r="D28" s="22" t="s">
        <v>905</v>
      </c>
    </row>
    <row r="29" spans="1:4" x14ac:dyDescent="0.45">
      <c r="A29" t="str">
        <f t="shared" si="0"/>
        <v>CaregiverEmployment_Description_22</v>
      </c>
      <c r="B29" t="s">
        <v>85</v>
      </c>
      <c r="C29" t="s">
        <v>29</v>
      </c>
      <c r="D29" s="22" t="s">
        <v>906</v>
      </c>
    </row>
    <row r="30" spans="1:4" x14ac:dyDescent="0.45">
      <c r="A30" t="str">
        <f t="shared" si="0"/>
        <v>CaregiverEmployment_Description_23</v>
      </c>
      <c r="B30" t="s">
        <v>85</v>
      </c>
      <c r="C30" t="s">
        <v>30</v>
      </c>
      <c r="D30" s="22" t="s">
        <v>907</v>
      </c>
    </row>
    <row r="31" spans="1:4" x14ac:dyDescent="0.45">
      <c r="A31" t="str">
        <f t="shared" si="0"/>
        <v>CaregiverEmployment_Description_24</v>
      </c>
      <c r="B31" t="s">
        <v>85</v>
      </c>
      <c r="C31" t="s">
        <v>31</v>
      </c>
      <c r="D31" s="22" t="s">
        <v>908</v>
      </c>
    </row>
    <row r="32" spans="1:4" x14ac:dyDescent="0.45">
      <c r="A32" t="str">
        <f t="shared" si="0"/>
        <v>CaregiverEmployment_Description_25</v>
      </c>
      <c r="B32" t="s">
        <v>85</v>
      </c>
      <c r="C32" t="s">
        <v>82</v>
      </c>
      <c r="D32" s="22" t="s">
        <v>273</v>
      </c>
    </row>
    <row r="33" spans="1:4" x14ac:dyDescent="0.45">
      <c r="A33" t="str">
        <f t="shared" si="0"/>
        <v>CaregiverEmployment_Description_31</v>
      </c>
      <c r="B33" t="s">
        <v>85</v>
      </c>
      <c r="C33" t="s">
        <v>33</v>
      </c>
      <c r="D33" s="22" t="s">
        <v>905</v>
      </c>
    </row>
    <row r="34" spans="1:4" x14ac:dyDescent="0.45">
      <c r="A34" t="str">
        <f t="shared" si="0"/>
        <v>CaregiverEmployment_Description_32</v>
      </c>
      <c r="B34" t="s">
        <v>85</v>
      </c>
      <c r="C34" t="s">
        <v>34</v>
      </c>
      <c r="D34" s="22" t="s">
        <v>906</v>
      </c>
    </row>
    <row r="35" spans="1:4" x14ac:dyDescent="0.45">
      <c r="A35" t="str">
        <f t="shared" si="0"/>
        <v>CaregiverEmployment_Description_33</v>
      </c>
      <c r="B35" t="s">
        <v>85</v>
      </c>
      <c r="C35" t="s">
        <v>35</v>
      </c>
      <c r="D35" s="22" t="s">
        <v>907</v>
      </c>
    </row>
    <row r="36" spans="1:4" x14ac:dyDescent="0.45">
      <c r="A36" t="str">
        <f t="shared" si="0"/>
        <v>CaregiverEmployment_Description_34</v>
      </c>
      <c r="B36" t="s">
        <v>85</v>
      </c>
      <c r="C36" t="s">
        <v>36</v>
      </c>
      <c r="D36" s="22" t="s">
        <v>908</v>
      </c>
    </row>
    <row r="37" spans="1:4" x14ac:dyDescent="0.45">
      <c r="A37" t="str">
        <f t="shared" si="0"/>
        <v>CaregiverEmployment_Description_35</v>
      </c>
      <c r="B37" t="s">
        <v>85</v>
      </c>
      <c r="C37" t="s">
        <v>83</v>
      </c>
      <c r="D37" s="22" t="s">
        <v>273</v>
      </c>
    </row>
    <row r="38" spans="1:4" x14ac:dyDescent="0.45">
      <c r="A38" t="str">
        <f t="shared" si="0"/>
        <v>CaregiverEmployment_Description_41</v>
      </c>
      <c r="B38" t="s">
        <v>85</v>
      </c>
      <c r="C38" t="s">
        <v>38</v>
      </c>
      <c r="D38" s="22" t="s">
        <v>905</v>
      </c>
    </row>
    <row r="39" spans="1:4" x14ac:dyDescent="0.45">
      <c r="A39" t="str">
        <f t="shared" si="0"/>
        <v>CaregiverEmployment_Description_42</v>
      </c>
      <c r="B39" t="s">
        <v>85</v>
      </c>
      <c r="C39" t="s">
        <v>39</v>
      </c>
      <c r="D39" s="22" t="s">
        <v>906</v>
      </c>
    </row>
    <row r="40" spans="1:4" x14ac:dyDescent="0.45">
      <c r="A40" t="str">
        <f t="shared" si="0"/>
        <v>CaregiverEmployment_Description_43</v>
      </c>
      <c r="B40" t="s">
        <v>85</v>
      </c>
      <c r="C40" t="s">
        <v>40</v>
      </c>
      <c r="D40" s="22" t="s">
        <v>907</v>
      </c>
    </row>
    <row r="41" spans="1:4" x14ac:dyDescent="0.45">
      <c r="A41" t="str">
        <f t="shared" si="0"/>
        <v>CaregiverEmployment_Description_44</v>
      </c>
      <c r="B41" t="s">
        <v>85</v>
      </c>
      <c r="C41" t="s">
        <v>41</v>
      </c>
      <c r="D41" s="22" t="s">
        <v>908</v>
      </c>
    </row>
    <row r="42" spans="1:4" x14ac:dyDescent="0.45">
      <c r="A42" t="str">
        <f t="shared" si="0"/>
        <v>CaregiverEmployment_Description_45</v>
      </c>
      <c r="B42" t="s">
        <v>85</v>
      </c>
      <c r="C42" t="s">
        <v>84</v>
      </c>
      <c r="D42" s="22" t="s">
        <v>273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0249A0C58B64479D9B859E8C003629" ma:contentTypeVersion="6" ma:contentTypeDescription="Create a new document." ma:contentTypeScope="" ma:versionID="3e05edcaea6663b89fd8f173be6f83ed">
  <xsd:schema xmlns:xsd="http://www.w3.org/2001/XMLSchema" xmlns:xs="http://www.w3.org/2001/XMLSchema" xmlns:p="http://schemas.microsoft.com/office/2006/metadata/properties" xmlns:ns3="9d05927c-47ca-4184-9e02-1b01f6975266" targetNamespace="http://schemas.microsoft.com/office/2006/metadata/properties" ma:root="true" ma:fieldsID="76802d92d315ebedfc8c0f5dd5cd9f06" ns3:_="">
    <xsd:import namespace="9d05927c-47ca-4184-9e02-1b01f6975266"/>
    <xsd:element name="properties">
      <xsd:complexType>
        <xsd:sequence>
          <xsd:element name="documentManagement">
            <xsd:complexType>
              <xsd:all>
                <xsd:element ref="ns3:MediaServiceMetadata" minOccurs="0"/>
                <xsd:element ref="ns3:MediaServiceFastMetadata" minOccurs="0"/>
                <xsd:element ref="ns3:_activity" minOccurs="0"/>
                <xsd:element ref="ns3:MediaServiceDateTaken" minOccurs="0"/>
                <xsd:element ref="ns3:MediaServiceAuto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05927c-47ca-4184-9e02-1b01f69752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d05927c-47ca-4184-9e02-1b01f6975266" xsi:nil="true"/>
  </documentManagement>
</p:properties>
</file>

<file path=customXml/itemProps1.xml><?xml version="1.0" encoding="utf-8"?>
<ds:datastoreItem xmlns:ds="http://schemas.openxmlformats.org/officeDocument/2006/customXml" ds:itemID="{7D36C2F6-5CFD-44D1-8A32-9A6BBE439C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05927c-47ca-4184-9e02-1b01f69752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6C1D28-5774-42B6-8B31-533FAB898B87}">
  <ds:schemaRefs>
    <ds:schemaRef ds:uri="http://schemas.microsoft.com/sharepoint/v3/contenttype/forms"/>
  </ds:schemaRefs>
</ds:datastoreItem>
</file>

<file path=customXml/itemProps3.xml><?xml version="1.0" encoding="utf-8"?>
<ds:datastoreItem xmlns:ds="http://schemas.openxmlformats.org/officeDocument/2006/customXml" ds:itemID="{D1A81AA1-BCFD-42F5-B200-D1E9DCA2C545}">
  <ds:schemaRefs>
    <ds:schemaRef ds:uri="http://schemas.microsoft.com/office/2006/documentManagement/types"/>
    <ds:schemaRef ds:uri="http://purl.org/dc/elements/1.1/"/>
    <ds:schemaRef ds:uri="http://schemas.microsoft.com/office/2006/metadata/properties"/>
    <ds:schemaRef ds:uri="9d05927c-47ca-4184-9e02-1b01f6975266"/>
    <ds:schemaRef ds:uri="http://www.w3.org/XML/1998/namespace"/>
    <ds:schemaRef ds:uri="http://schemas.openxmlformats.org/package/2006/metadata/core-properties"/>
    <ds:schemaRef ds:uri="http://schemas.microsoft.com/office/infopath/2007/PartnerControl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PASTE - Match 2</vt:lpstr>
      <vt:lpstr>COPY - Match 2</vt:lpstr>
      <vt:lpstr>LU - Company Names</vt:lpstr>
      <vt:lpstr>LU - Position Name Conversion</vt:lpstr>
      <vt:lpstr>LU - Certifications</vt:lpstr>
      <vt:lpstr>LU - Schools</vt:lpstr>
      <vt:lpstr>LU - Names</vt:lpstr>
      <vt:lpstr>LU - Emails</vt:lpstr>
      <vt:lpstr>LU - Phone Numbers</vt:lpstr>
      <vt:lpstr>LU - Ad Hoc Baker Fix</vt:lpstr>
      <vt:lpstr>'PASTE - Match 2'!OLE_LINK1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Taryn Eadie</dc:creator>
  <cp:lastModifiedBy>Taryn Eames</cp:lastModifiedBy>
  <dcterms:created xsi:type="dcterms:W3CDTF">2023-03-16T01:34:22Z</dcterms:created>
  <dcterms:modified xsi:type="dcterms:W3CDTF">2026-09-09T15:45:14Z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0x010100E80249A0C58B64479D9B859E8C003629</vt:lpwstr>
  </property>
</Properties>
</file>